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mitk\OneDrive\Desktop\EXCEL\"/>
    </mc:Choice>
  </mc:AlternateContent>
  <xr:revisionPtr revIDLastSave="0" documentId="8_{86DCF458-C7FA-472D-9BC9-EE5A901B4501}" xr6:coauthVersionLast="47" xr6:coauthVersionMax="47" xr10:uidLastSave="{00000000-0000-0000-0000-000000000000}"/>
  <bookViews>
    <workbookView xWindow="-108" yWindow="-108" windowWidth="23256" windowHeight="12456" activeTab="1" xr2:uid="{4982FFAD-34DD-4F8C-9F28-822BC0BEB82C}"/>
  </bookViews>
  <sheets>
    <sheet name="Pivot Report" sheetId="1" r:id="rId1"/>
    <sheet name="Dashboard" sheetId="2" r:id="rId2"/>
    <sheet name="Satisfaction score" sheetId="6" r:id="rId3"/>
    <sheet name="Average Wait time" sheetId="5" r:id="rId4"/>
    <sheet name="Daily Trend" sheetId="4" r:id="rId5"/>
  </sheets>
  <definedNames>
    <definedName name="Slicer_Date__Month">#N/A</definedName>
    <definedName name="Slicer_Date__Year">#N/A</definedName>
  </definedNames>
  <calcPr calcId="191029"/>
  <pivotCaches>
    <pivotCache cacheId="2487" r:id="rId6"/>
    <pivotCache cacheId="2490" r:id="rId7"/>
    <pivotCache cacheId="2493" r:id="rId8"/>
    <pivotCache cacheId="2496" r:id="rId9"/>
    <pivotCache cacheId="2499" r:id="rId10"/>
    <pivotCache cacheId="2502" r:id="rId11"/>
    <pivotCache cacheId="2505" r:id="rId12"/>
    <pivotCache cacheId="2508" r:id="rId13"/>
    <pivotCache cacheId="2511" r:id="rId14"/>
    <pivotCache cacheId="2514" r:id="rId15"/>
    <pivotCache cacheId="2517" r:id="rId16"/>
    <pivotCache cacheId="2520" r:id="rId17"/>
  </pivotCaches>
  <extLst>
    <ext xmlns:x14="http://schemas.microsoft.com/office/spreadsheetml/2009/9/main" uri="{876F7934-8845-4945-9796-88D515C7AA90}">
      <x14:pivotCaches>
        <pivotCache cacheId="171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1589de0-4caf-4947-b3cd-bac89508ddd0" name="Hospital Emergency Room Data" connection="Query - Hospital Emergency Room Data"/>
          <x15:modelTable id="Calander_Table_ef538c10-c797-452d-8bfb-fb55570e6260" name="Calander_Table" connection="Query - Calander_Table"/>
        </x15:modelTables>
        <x15:modelRelationships>
          <x15:modelRelationship fromTable="Hospital Emergency Room Data" fromColumn="Patient Admission Date" toTable="Calander_Table" toColumn="Date"/>
        </x15:modelRelationships>
        <x15:extLst>
          <ext xmlns:x16="http://schemas.microsoft.com/office/spreadsheetml/2014/11/main" uri="{9835A34E-60A6-4A7C-AAB8-D5F71C897F49}">
            <x16:modelTimeGroupings>
              <x16:modelTimeGrouping tableName="Calander_Table" columnName="Date" columnId="Date">
                <x16:calculatedTimeColumn columnName="Date (Year)" columnId="Date (Year)" contentType="years" isSelected="1"/>
                <x16:calculatedTimeColumn columnName="Date (Month Index)" columnId="Date (Month Index)" contentType="monthsindex" isSelected="0"/>
                <x16:calculatedTimeColumn columnName="Date (Month)" columnId="Date (Month)" contentType="months" isSelected="0"/>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 i="1" l="1"/>
  <c r="B50" i="1"/>
  <c r="C50" i="1"/>
  <c r="A49" i="1"/>
  <c r="B49" i="1"/>
  <c r="C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8F78CA-02F6-4DB1-92B3-96200747A19D}" name="Query - Calander_Table" description="Connection to the 'Calander_Table' query in the workbook." type="100" refreshedVersion="8" minRefreshableVersion="5">
    <extLst>
      <ext xmlns:x15="http://schemas.microsoft.com/office/spreadsheetml/2010/11/main" uri="{DE250136-89BD-433C-8126-D09CA5730AF9}">
        <x15:connection id="101e8f17-6adc-4b36-888a-d2b8b09ec28a">
          <x15:oledbPr connection="Provider=Microsoft.Mashup.OleDb.1;Data Source=$Workbook$;Location=Calander_Table;Extended Properties=&quot;&quot;">
            <x15:dbTables>
              <x15:dbTable name="Calander_Table"/>
            </x15:dbTables>
          </x15:oledbPr>
        </x15:connection>
      </ext>
    </extLst>
  </connection>
  <connection id="2" xr16:uid="{FA10B906-EDFF-45BF-BE51-DEB50388019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ec4ccaa-2756-4379-88d0-ac99291522a3"/>
      </ext>
    </extLst>
  </connection>
  <connection id="3" xr16:uid="{F9BD299A-C39E-4398-B515-6988DB65D6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<sst xmlns="http://schemas.openxmlformats.org/spreadsheetml/2006/main" count="148" uniqueCount="68">
  <si>
    <t>Count of Patient Id</t>
  </si>
  <si>
    <t>Distinct Count of Patient Id</t>
  </si>
  <si>
    <t>No.of Patient</t>
  </si>
  <si>
    <t>Average of Patient Waittime</t>
  </si>
  <si>
    <t>Average of Patient Satisfaction Score</t>
  </si>
  <si>
    <t>Row Labels</t>
  </si>
  <si>
    <t>Grand Total</t>
  </si>
  <si>
    <t>2023</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</si>
  <si>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</si>
  <si>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</si>
  <si>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</si>
  <si>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</si>
  <si>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</si>
  <si>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</si>
  <si>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</si>
  <si>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</si>
  <si>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</si>
  <si>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</si>
  <si>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</si>
  <si>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</si>
  <si>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</si>
  <si>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</si>
  <si>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</si>
  <si>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</si>
  <si>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</si>
  <si>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</si>
  <si>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</si>
  <si>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</si>
  <si>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</si>
  <si>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</si>
  <si>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</si>
  <si>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</si>
  <si>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</si>
  <si>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</si>
  <si>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</si>
  <si>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</si>
  <si>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</si>
  <si>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</si>
  <si>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</si>
  <si>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Male</t>
  </si>
  <si>
    <t>None</t>
  </si>
  <si>
    <t>Admitted</t>
  </si>
  <si>
    <t>50-59</t>
  </si>
  <si>
    <t>Ontime</t>
  </si>
  <si>
    <t>10-19</t>
  </si>
  <si>
    <t>Female</t>
  </si>
  <si>
    <t>60-69</t>
  </si>
  <si>
    <t>Delayed</t>
  </si>
  <si>
    <t>Not Admitted</t>
  </si>
  <si>
    <t>0-9</t>
  </si>
  <si>
    <t>40-49</t>
  </si>
  <si>
    <t>30-39</t>
  </si>
  <si>
    <t>70-79</t>
  </si>
  <si>
    <t>General Practice</t>
  </si>
  <si>
    <t>20-29</t>
  </si>
  <si>
    <t>Orthopedics</t>
  </si>
  <si>
    <t>Cardiology</t>
  </si>
  <si>
    <t>Neurology</t>
  </si>
  <si>
    <t>Count of Patient Admission Flag</t>
  </si>
  <si>
    <t>Count of Patient Admission Flag2</t>
  </si>
  <si>
    <t>Admission Status</t>
  </si>
  <si>
    <t>% Status</t>
  </si>
  <si>
    <t>No.Of Patient</t>
  </si>
  <si>
    <t>Count of Age Group</t>
  </si>
  <si>
    <t>Gastroenterology</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</si>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</sst>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0" fillId="4" borderId="0" xfId="0" applyFill="1"/>
    <xf numFmtId="0" fontId="0" fillId="5" borderId="0" xfId="0" applyFill="1"/>
    <xf numFmtId="0" fontId="0" fillId="0" borderId="0" xfId="0"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1" fontId="0" fillId="0" borderId="0" xfId="0" applyNumberFormat="1"/>
  </cellXfs>
  <cellStyles count="2">
    <cellStyle name="Normal" xfId="0" builtinId="0"/>
    <cellStyle name="Percent" xfId="1" builtinId="5"/>
  </cellStyles>
  <dxfs count="592">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9" tint="0.79998168889431442"/>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851224C0-007C-4E26-B9D8-F4D08B630015}">
      <tableStyleElement type="wholeTable" dxfId="589"/>
      <tableStyleElement type="headerRow" dxfId="58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8000">
                        <a:srgbClr val="FF0000"/>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8000">
                        <a:srgbClr val="FF0000"/>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3"/>
          <c:w val="0.96666666666666667"/>
          <c:h val="0.99537037037037035"/>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cat>
            <c:strRef>
              <c:f>'Pivot Report'!$A$42:$A$44</c:f>
              <c:strCache>
                <c:ptCount val="2"/>
                <c:pt idx="0">
                  <c:v>Admitted</c:v>
                </c:pt>
                <c:pt idx="1">
                  <c:v>Not Admitted</c:v>
                </c:pt>
              </c:strCache>
            </c:strRef>
          </c:cat>
          <c:val>
            <c:numRef>
              <c:f>'Pivot Report'!$B$42:$B$44</c:f>
              <c:numCache>
                <c:formatCode>0.00</c:formatCode>
                <c:ptCount val="2"/>
                <c:pt idx="0">
                  <c:v>250</c:v>
                </c:pt>
                <c:pt idx="1">
                  <c:v>239</c:v>
                </c:pt>
              </c:numCache>
            </c:numRef>
          </c:val>
          <c:extLst>
            <c:ext xmlns:c16="http://schemas.microsoft.com/office/drawing/2014/chart" uri="{C3380CC4-5D6E-409C-BE32-E72D297353CC}">
              <c16:uniqueId val="{00000007-5FE9-4241-A180-49FF6F2C5D90}"/>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0.5112474437627812</c:v>
                </c:pt>
                <c:pt idx="1">
                  <c:v>0.4887525562372188</c:v>
                </c:pt>
              </c:numCache>
            </c:numRef>
          </c:val>
          <c:extLst>
            <c:ext xmlns:c16="http://schemas.microsoft.com/office/drawing/2014/chart" uri="{C3380CC4-5D6E-409C-BE32-E72D297353CC}">
              <c16:uniqueId val="{00000008-5FE9-4241-A180-49FF6F2C5D90}"/>
            </c:ext>
          </c:extLst>
        </c:ser>
        <c:dLbls>
          <c:showLegendKey val="0"/>
          <c:showVal val="0"/>
          <c:showCatName val="0"/>
          <c:showSerName val="0"/>
          <c:showPercent val="0"/>
          <c:showBubbleSize val="0"/>
        </c:dLbls>
        <c:gapWidth val="182"/>
        <c:axId val="269814960"/>
        <c:axId val="269816880"/>
      </c:barChart>
      <c:catAx>
        <c:axId val="269814960"/>
        <c:scaling>
          <c:orientation val="minMax"/>
        </c:scaling>
        <c:delete val="1"/>
        <c:axPos val="l"/>
        <c:numFmt formatCode="General" sourceLinked="1"/>
        <c:majorTickMark val="none"/>
        <c:minorTickMark val="none"/>
        <c:tickLblPos val="nextTo"/>
        <c:crossAx val="269816880"/>
        <c:crosses val="autoZero"/>
        <c:auto val="1"/>
        <c:lblAlgn val="ctr"/>
        <c:lblOffset val="100"/>
        <c:noMultiLvlLbl val="0"/>
      </c:catAx>
      <c:valAx>
        <c:axId val="269816880"/>
        <c:scaling>
          <c:orientation val="minMax"/>
        </c:scaling>
        <c:delete val="1"/>
        <c:axPos val="b"/>
        <c:numFmt formatCode="0.00" sourceLinked="1"/>
        <c:majorTickMark val="none"/>
        <c:minorTickMark val="none"/>
        <c:tickLblPos val="nextTo"/>
        <c:crossAx val="26981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gradFill>
            <a:gsLst>
              <a:gs pos="0">
                <a:schemeClr val="accent1">
                  <a:lumMod val="5000"/>
                  <a:lumOff val="95000"/>
                </a:schemeClr>
              </a:gs>
              <a:gs pos="74000">
                <a:schemeClr val="accent1">
                  <a:lumMod val="45000"/>
                  <a:lumOff val="55000"/>
                </a:schemeClr>
              </a:gs>
              <a:gs pos="88000">
                <a:srgbClr val="FF0000"/>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08791222832218E-2"/>
          <c:y val="1.787405686201932E-2"/>
          <c:w val="0.87018241755433556"/>
          <c:h val="0.87907778796264646"/>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Report'!$E$6:$E$37</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4-C6E9-4E5D-A4E7-C9D093717C7B}"/>
            </c:ext>
          </c:extLst>
        </c:ser>
        <c:dLbls>
          <c:showLegendKey val="0"/>
          <c:showVal val="0"/>
          <c:showCatName val="0"/>
          <c:showSerName val="0"/>
          <c:showPercent val="0"/>
          <c:showBubbleSize val="0"/>
        </c:dLbls>
        <c:axId val="82647456"/>
        <c:axId val="82649856"/>
      </c:areaChart>
      <c:catAx>
        <c:axId val="82647456"/>
        <c:scaling>
          <c:orientation val="minMax"/>
        </c:scaling>
        <c:delete val="1"/>
        <c:axPos val="b"/>
        <c:numFmt formatCode="General" sourceLinked="1"/>
        <c:majorTickMark val="out"/>
        <c:minorTickMark val="none"/>
        <c:tickLblPos val="nextTo"/>
        <c:crossAx val="82649856"/>
        <c:crosses val="autoZero"/>
        <c:auto val="1"/>
        <c:lblAlgn val="ctr"/>
        <c:lblOffset val="100"/>
        <c:noMultiLvlLbl val="0"/>
      </c:catAx>
      <c:valAx>
        <c:axId val="82649856"/>
        <c:scaling>
          <c:orientation val="minMax"/>
        </c:scaling>
        <c:delete val="1"/>
        <c:axPos val="l"/>
        <c:numFmt formatCode="General" sourceLinked="1"/>
        <c:majorTickMark val="none"/>
        <c:minorTickMark val="none"/>
        <c:tickLblPos val="nextTo"/>
        <c:crossAx val="8264745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5496573469517"/>
          <c:y val="7.5322833324719354E-2"/>
          <c:w val="0.75730500815184387"/>
          <c:h val="0.47474058528129137"/>
        </c:manualLayout>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Report'!$L$6:$L$37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4-A62F-4B62-A395-905E115C785C}"/>
            </c:ext>
          </c:extLst>
        </c:ser>
        <c:dLbls>
          <c:showLegendKey val="0"/>
          <c:showVal val="0"/>
          <c:showCatName val="0"/>
          <c:showSerName val="0"/>
          <c:showPercent val="0"/>
          <c:showBubbleSize val="0"/>
        </c:dLbls>
        <c:axId val="1387306479"/>
        <c:axId val="1387300239"/>
      </c:areaChart>
      <c:catAx>
        <c:axId val="1387306479"/>
        <c:scaling>
          <c:orientation val="minMax"/>
        </c:scaling>
        <c:delete val="1"/>
        <c:axPos val="b"/>
        <c:numFmt formatCode="General" sourceLinked="1"/>
        <c:majorTickMark val="out"/>
        <c:minorTickMark val="none"/>
        <c:tickLblPos val="nextTo"/>
        <c:crossAx val="1387300239"/>
        <c:crosses val="autoZero"/>
        <c:auto val="1"/>
        <c:lblAlgn val="ctr"/>
        <c:lblOffset val="100"/>
        <c:noMultiLvlLbl val="0"/>
      </c:catAx>
      <c:valAx>
        <c:axId val="13873002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87306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3424792825414"/>
          <c:y val="0"/>
          <c:w val="0.65919329414301964"/>
          <c:h val="0.50000115421994351"/>
        </c:manualLayout>
      </c:layout>
      <c:areaChart>
        <c:grouping val="standard"/>
        <c:varyColors val="0"/>
        <c:ser>
          <c:idx val="0"/>
          <c:order val="0"/>
          <c:tx>
            <c:strRef>
              <c:f>'Pivot Report'!$Q$15</c:f>
              <c:strCache>
                <c:ptCount val="1"/>
                <c:pt idx="0">
                  <c:v>Total</c:v>
                </c:pt>
              </c:strCache>
            </c:strRef>
          </c:tx>
          <c:spPr>
            <a:solidFill>
              <a:schemeClr val="accent1"/>
            </a:solidFill>
            <a:ln w="25400">
              <a:noFill/>
            </a:ln>
            <a:effectLst/>
          </c:spPr>
          <c:cat>
            <c:strRef>
              <c:f>'Pivot Report'!$P$16:$P$45</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Report'!$Q$16:$Q$45</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4-C524-41C3-8B63-75A88F573244}"/>
            </c:ext>
          </c:extLst>
        </c:ser>
        <c:dLbls>
          <c:showLegendKey val="0"/>
          <c:showVal val="0"/>
          <c:showCatName val="0"/>
          <c:showSerName val="0"/>
          <c:showPercent val="0"/>
          <c:showBubbleSize val="0"/>
        </c:dLbls>
        <c:axId val="82657536"/>
        <c:axId val="82649856"/>
      </c:areaChart>
      <c:catAx>
        <c:axId val="82657536"/>
        <c:scaling>
          <c:orientation val="minMax"/>
        </c:scaling>
        <c:delete val="1"/>
        <c:axPos val="b"/>
        <c:numFmt formatCode="General" sourceLinked="1"/>
        <c:majorTickMark val="out"/>
        <c:minorTickMark val="none"/>
        <c:tickLblPos val="nextTo"/>
        <c:crossAx val="82649856"/>
        <c:crosses val="autoZero"/>
        <c:auto val="1"/>
        <c:lblAlgn val="ctr"/>
        <c:lblOffset val="100"/>
        <c:noMultiLvlLbl val="0"/>
      </c:catAx>
      <c:valAx>
        <c:axId val="82649856"/>
        <c:scaling>
          <c:orientation val="minMax"/>
        </c:scaling>
        <c:delete val="1"/>
        <c:axPos val="l"/>
        <c:numFmt formatCode="0.00" sourceLinked="1"/>
        <c:majorTickMark val="none"/>
        <c:minorTickMark val="none"/>
        <c:tickLblPos val="nextTo"/>
        <c:crossAx val="82657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Report!PivotTable8</c:name>
    <c:fmtId val="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9.2592592592592587E-3"/>
          <c:w val="0.99444444444444446"/>
          <c:h val="0.71544955871626337"/>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49</c:v>
                </c:pt>
                <c:pt idx="1">
                  <c:v>56</c:v>
                </c:pt>
                <c:pt idx="2">
                  <c:v>71</c:v>
                </c:pt>
                <c:pt idx="3">
                  <c:v>72</c:v>
                </c:pt>
                <c:pt idx="4">
                  <c:v>64</c:v>
                </c:pt>
                <c:pt idx="5">
                  <c:v>60</c:v>
                </c:pt>
                <c:pt idx="6">
                  <c:v>64</c:v>
                </c:pt>
                <c:pt idx="7">
                  <c:v>53</c:v>
                </c:pt>
              </c:numCache>
            </c:numRef>
          </c:val>
          <c:extLst>
            <c:ext xmlns:c16="http://schemas.microsoft.com/office/drawing/2014/chart" uri="{C3380CC4-5D6E-409C-BE32-E72D297353CC}">
              <c16:uniqueId val="{00000006-CDC9-472B-930C-F446C44C4C66}"/>
            </c:ext>
          </c:extLst>
        </c:ser>
        <c:dLbls>
          <c:showLegendKey val="0"/>
          <c:showVal val="0"/>
          <c:showCatName val="0"/>
          <c:showSerName val="0"/>
          <c:showPercent val="0"/>
          <c:showBubbleSize val="0"/>
        </c:dLbls>
        <c:gapWidth val="219"/>
        <c:overlap val="-27"/>
        <c:axId val="176668832"/>
        <c:axId val="176669312"/>
      </c:barChart>
      <c:catAx>
        <c:axId val="1766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9312"/>
        <c:crosses val="autoZero"/>
        <c:auto val="1"/>
        <c:lblAlgn val="ctr"/>
        <c:lblOffset val="100"/>
        <c:noMultiLvlLbl val="0"/>
      </c:catAx>
      <c:valAx>
        <c:axId val="176669312"/>
        <c:scaling>
          <c:orientation val="minMax"/>
        </c:scaling>
        <c:delete val="1"/>
        <c:axPos val="l"/>
        <c:numFmt formatCode="0" sourceLinked="1"/>
        <c:majorTickMark val="none"/>
        <c:minorTickMark val="none"/>
        <c:tickLblPos val="nextTo"/>
        <c:crossAx val="17666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02040898383968"/>
          <c:y val="1.8185384323473858E-2"/>
          <c:w val="0.652211615462712"/>
          <c:h val="0.96362923135305234"/>
        </c:manualLayout>
      </c:layout>
      <c:barChart>
        <c:barDir val="bar"/>
        <c:grouping val="clustered"/>
        <c:varyColors val="0"/>
        <c:ser>
          <c:idx val="0"/>
          <c:order val="0"/>
          <c:tx>
            <c:strRef>
              <c:f>'Pivot Report'!$E$54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Report'!$D$55:$D$63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Report'!$E$55:$E$63</c:f>
              <c:numCache>
                <c:formatCode>0</c:formatCode>
                <c:ptCount val="8"/>
                <c:pt idx="0">
                  <c:v>18</c:v>
                </c:pt>
                <c:pt idx="1">
                  <c:v>8</c:v>
                </c:pt>
                <c:pt idx="2">
                  <c:v>110</c:v>
                </c:pt>
                <c:pt idx="3">
                  <c:v>11</c:v>
                </c:pt>
                <c:pt idx="4">
                  <c:v>278</c:v>
                </c:pt>
                <c:pt idx="5">
                  <c:v>44</c:v>
                </c:pt>
                <c:pt idx="6">
                  <c:v>12</c:v>
                </c:pt>
                <c:pt idx="7">
                  <c:v>8</c:v>
                </c:pt>
              </c:numCache>
            </c:numRef>
          </c:val>
          <c:extLst>
            <c:ext xmlns:c16="http://schemas.microsoft.com/office/drawing/2014/chart" uri="{C3380CC4-5D6E-409C-BE32-E72D297353CC}">
              <c16:uniqueId val="{00000004-5729-4025-B4E4-9FCE061701B0}"/>
            </c:ext>
          </c:extLst>
        </c:ser>
        <c:dLbls>
          <c:showLegendKey val="0"/>
          <c:showVal val="0"/>
          <c:showCatName val="0"/>
          <c:showSerName val="0"/>
          <c:showPercent val="0"/>
          <c:showBubbleSize val="0"/>
        </c:dLbls>
        <c:gapWidth val="182"/>
        <c:axId val="82632096"/>
        <c:axId val="82642656"/>
      </c:barChart>
      <c:catAx>
        <c:axId val="8263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2656"/>
        <c:crosses val="autoZero"/>
        <c:auto val="1"/>
        <c:lblAlgn val="ctr"/>
        <c:lblOffset val="100"/>
        <c:noMultiLvlLbl val="0"/>
      </c:catAx>
      <c:valAx>
        <c:axId val="82642656"/>
        <c:scaling>
          <c:orientation val="minMax"/>
        </c:scaling>
        <c:delete val="1"/>
        <c:axPos val="b"/>
        <c:numFmt formatCode="0" sourceLinked="1"/>
        <c:majorTickMark val="none"/>
        <c:minorTickMark val="none"/>
        <c:tickLblPos val="nextTo"/>
        <c:crossAx val="8263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Report!PivotTable10</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Report'!$H$53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Report'!$G$54:$G$56</c:f>
              <c:strCache>
                <c:ptCount val="2"/>
                <c:pt idx="0">
                  <c:v>Delayed</c:v>
                </c:pt>
                <c:pt idx="1">
                  <c:v>Ontime</c:v>
                </c:pt>
              </c:strCache>
            </c:strRef>
          </c:cat>
          <c:val>
            <c:numRef>
              <c:f>'Pivot Report'!$H$54:$H$56</c:f>
              <c:numCache>
                <c:formatCode>0</c:formatCode>
                <c:ptCount val="2"/>
                <c:pt idx="0">
                  <c:v>286</c:v>
                </c:pt>
                <c:pt idx="1">
                  <c:v>203</c:v>
                </c:pt>
              </c:numCache>
            </c:numRef>
          </c:val>
          <c:extLst>
            <c:ext xmlns:c16="http://schemas.microsoft.com/office/drawing/2014/chart" uri="{C3380CC4-5D6E-409C-BE32-E72D297353CC}">
              <c16:uniqueId val="{00000008-4C25-45F3-B9E1-D2BE548234A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0395930741909756"/>
          <c:y val="0.29828224135586084"/>
          <c:w val="0.48892707372788291"/>
          <c:h val="0.402856742919941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33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a:glow>
                <a:schemeClr val="accent1">
                  <a:alpha val="40000"/>
                </a:schemeClr>
              </a:glow>
            </a:effectLst>
          </c:spPr>
          <c:txPr>
            <a:bodyPr rot="0" spcFirstLastPara="1" vertOverflow="clip" horzOverflow="clip" vert="horz" wrap="square" lIns="0" tIns="3600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noFill/>
          </a:ln>
          <a:effectLst/>
        </c:spPr>
      </c:pivotFmt>
      <c:pivotFmt>
        <c:idx val="6"/>
        <c:spPr>
          <a:solidFill>
            <a:schemeClr val="accent2"/>
          </a:solidFill>
          <a:ln w="19050">
            <a:noFill/>
          </a:ln>
          <a:effectLst/>
        </c:spPr>
      </c:pivotFmt>
    </c:pivotFmts>
    <c:plotArea>
      <c:layout/>
      <c:doughnutChart>
        <c:varyColors val="1"/>
        <c:ser>
          <c:idx val="0"/>
          <c:order val="0"/>
          <c:tx>
            <c:strRef>
              <c:f>'Pivot Report'!$H$59</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a:glow>
                  <a:schemeClr val="accent1">
                    <a:alpha val="40000"/>
                  </a:schemeClr>
                </a:glow>
              </a:effectLst>
            </c:spPr>
            <c:txPr>
              <a:bodyPr rot="0" spcFirstLastPara="1" vertOverflow="clip" horzOverflow="clip" vert="horz" wrap="square" lIns="0" tIns="3600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Report'!$G$60:$G$62</c:f>
              <c:strCache>
                <c:ptCount val="2"/>
                <c:pt idx="0">
                  <c:v>Female</c:v>
                </c:pt>
                <c:pt idx="1">
                  <c:v>Male</c:v>
                </c:pt>
              </c:strCache>
            </c:strRef>
          </c:cat>
          <c:val>
            <c:numRef>
              <c:f>'Pivot Report'!$H$60:$H$62</c:f>
              <c:numCache>
                <c:formatCode>0</c:formatCode>
                <c:ptCount val="2"/>
                <c:pt idx="0">
                  <c:v>240</c:v>
                </c:pt>
                <c:pt idx="1">
                  <c:v>249</c:v>
                </c:pt>
              </c:numCache>
            </c:numRef>
          </c:val>
          <c:extLst>
            <c:ext xmlns:c16="http://schemas.microsoft.com/office/drawing/2014/chart" uri="{C3380CC4-5D6E-409C-BE32-E72D297353CC}">
              <c16:uniqueId val="{00000008-A305-4484-A324-9404A765407D}"/>
            </c:ext>
          </c:extLst>
        </c:ser>
        <c:dLbls>
          <c:showLegendKey val="0"/>
          <c:showVal val="0"/>
          <c:showCatName val="0"/>
          <c:showSerName val="0"/>
          <c:showPercent val="0"/>
          <c:showBubbleSize val="0"/>
          <c:showLeaderLines val="1"/>
        </c:dLbls>
        <c:firstSliceAng val="17"/>
        <c:holeSize val="3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a:glow>
        <a:schemeClr val="accent1">
          <a:alpha val="40000"/>
        </a:schemeClr>
      </a:glow>
      <a:outerShdw blurRad="50800" dist="50800" dir="5400000" sx="5000" sy="5000" algn="ctr" rotWithShape="0">
        <a:srgbClr val="000000">
          <a:alpha val="43137"/>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18288731496552E-3"/>
          <c:y val="0"/>
          <c:w val="0.97465960599146217"/>
          <c:h val="0.99768655220180813"/>
        </c:manualLayout>
      </c:layout>
      <c:areaChart>
        <c:grouping val="standard"/>
        <c:varyColors val="0"/>
        <c:ser>
          <c:idx val="0"/>
          <c:order val="0"/>
          <c:tx>
            <c:strRef>
              <c:f>'Pivot Report'!$Q$15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Report'!$P$16:$P$45</c:f>
              <c:strCache>
                <c:ptCount val="29"/>
                <c:pt idx="0">
                  <c:v>1-Dec</c:v>
                </c:pt>
                <c:pt idx="1">
                  <c:v>2-Dec</c:v>
                </c:pt>
                <c:pt idx="2">
                  <c:v>3-Dec</c:v>
                </c:pt>
                <c:pt idx="3">
                  <c:v>4-Dec</c:v>
                </c:pt>
                <c:pt idx="4">
                  <c:v>5-Dec</c:v>
                </c:pt>
                <c:pt idx="5">
                  <c:v>6-Dec</c:v>
                </c:pt>
                <c:pt idx="6">
                  <c:v>8-Dec</c:v>
                </c:pt>
                <c:pt idx="7">
                  <c:v>9-Dec</c:v>
                </c:pt>
                <c:pt idx="8">
                  <c:v>10-Dec</c:v>
                </c:pt>
                <c:pt idx="9">
                  <c:v>11-Dec</c:v>
                </c:pt>
                <c:pt idx="10">
                  <c:v>12-Dec</c:v>
                </c:pt>
                <c:pt idx="11">
                  <c:v>13-Dec</c:v>
                </c:pt>
                <c:pt idx="12">
                  <c:v>14-Dec</c:v>
                </c:pt>
                <c:pt idx="13">
                  <c:v>15-Dec</c:v>
                </c:pt>
                <c:pt idx="14">
                  <c:v>16-Dec</c:v>
                </c:pt>
                <c:pt idx="15">
                  <c:v>17-Dec</c:v>
                </c:pt>
                <c:pt idx="16">
                  <c:v>18-Dec</c:v>
                </c:pt>
                <c:pt idx="17">
                  <c:v>19-Dec</c:v>
                </c:pt>
                <c:pt idx="18">
                  <c:v>20-Dec</c:v>
                </c:pt>
                <c:pt idx="19">
                  <c:v>21-Dec</c:v>
                </c:pt>
                <c:pt idx="20">
                  <c:v>22-Dec</c:v>
                </c:pt>
                <c:pt idx="21">
                  <c:v>23-Dec</c:v>
                </c:pt>
                <c:pt idx="22">
                  <c:v>24-Dec</c:v>
                </c:pt>
                <c:pt idx="23">
                  <c:v>25-Dec</c:v>
                </c:pt>
                <c:pt idx="24">
                  <c:v>26-Dec</c:v>
                </c:pt>
                <c:pt idx="25">
                  <c:v>27-Dec</c:v>
                </c:pt>
                <c:pt idx="26">
                  <c:v>28-Dec</c:v>
                </c:pt>
                <c:pt idx="27">
                  <c:v>29-Dec</c:v>
                </c:pt>
                <c:pt idx="28">
                  <c:v>30-Dec</c:v>
                </c:pt>
              </c:strCache>
            </c:strRef>
          </c:cat>
          <c:val>
            <c:numRef>
              <c:f>'Pivot Report'!$Q$16:$Q$45</c:f>
              <c:numCache>
                <c:formatCode>0.00</c:formatCode>
                <c:ptCount val="29"/>
                <c:pt idx="0">
                  <c:v>9</c:v>
                </c:pt>
                <c:pt idx="1">
                  <c:v>4.4000000000000004</c:v>
                </c:pt>
                <c:pt idx="2">
                  <c:v>4</c:v>
                </c:pt>
                <c:pt idx="3">
                  <c:v>0</c:v>
                </c:pt>
                <c:pt idx="4">
                  <c:v>2.875</c:v>
                </c:pt>
                <c:pt idx="5">
                  <c:v>5.25</c:v>
                </c:pt>
                <c:pt idx="6">
                  <c:v>6</c:v>
                </c:pt>
                <c:pt idx="7">
                  <c:v>6.5</c:v>
                </c:pt>
                <c:pt idx="8">
                  <c:v>5.5</c:v>
                </c:pt>
                <c:pt idx="9">
                  <c:v>5.666666666666667</c:v>
                </c:pt>
                <c:pt idx="10">
                  <c:v>5.25</c:v>
                </c:pt>
                <c:pt idx="11">
                  <c:v>7.25</c:v>
                </c:pt>
                <c:pt idx="12">
                  <c:v>6</c:v>
                </c:pt>
                <c:pt idx="13">
                  <c:v>4.5999999999999996</c:v>
                </c:pt>
                <c:pt idx="14">
                  <c:v>8</c:v>
                </c:pt>
                <c:pt idx="15">
                  <c:v>3.6666666666666665</c:v>
                </c:pt>
                <c:pt idx="16">
                  <c:v>2.4285714285714284</c:v>
                </c:pt>
                <c:pt idx="17">
                  <c:v>9</c:v>
                </c:pt>
                <c:pt idx="18">
                  <c:v>6</c:v>
                </c:pt>
                <c:pt idx="19">
                  <c:v>4</c:v>
                </c:pt>
                <c:pt idx="20">
                  <c:v>4.833333333333333</c:v>
                </c:pt>
                <c:pt idx="21">
                  <c:v>3.6</c:v>
                </c:pt>
                <c:pt idx="22">
                  <c:v>5</c:v>
                </c:pt>
                <c:pt idx="23">
                  <c:v>5.25</c:v>
                </c:pt>
                <c:pt idx="24">
                  <c:v>3.2</c:v>
                </c:pt>
                <c:pt idx="25">
                  <c:v>5.5</c:v>
                </c:pt>
                <c:pt idx="26">
                  <c:v>3</c:v>
                </c:pt>
                <c:pt idx="27">
                  <c:v>3.9090909090909092</c:v>
                </c:pt>
                <c:pt idx="28">
                  <c:v>2.6666666666666665</c:v>
                </c:pt>
              </c:numCache>
            </c:numRef>
          </c:val>
          <c:extLst>
            <c:ext xmlns:c16="http://schemas.microsoft.com/office/drawing/2014/chart" uri="{C3380CC4-5D6E-409C-BE32-E72D297353CC}">
              <c16:uniqueId val="{00000003-8EB0-4E2D-A8DD-0278C33FA3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657536"/>
        <c:axId val="82649856"/>
      </c:areaChart>
      <c:catAx>
        <c:axId val="826575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649856"/>
        <c:crosses val="autoZero"/>
        <c:auto val="1"/>
        <c:lblAlgn val="ctr"/>
        <c:lblOffset val="100"/>
        <c:noMultiLvlLbl val="0"/>
      </c:catAx>
      <c:valAx>
        <c:axId val="82649856"/>
        <c:scaling>
          <c:orientation val="minMax"/>
        </c:scaling>
        <c:delete val="1"/>
        <c:axPos val="l"/>
        <c:numFmt formatCode="0.00" sourceLinked="1"/>
        <c:majorTickMark val="out"/>
        <c:minorTickMark val="none"/>
        <c:tickLblPos val="nextTo"/>
        <c:crossAx val="82657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75420198025912E-2"/>
          <c:y val="4.0805882992436593E-2"/>
          <c:w val="0.95309545557906583"/>
          <c:h val="0.81990829178897018"/>
        </c:manualLayout>
      </c:layout>
      <c:areaChart>
        <c:grouping val="standard"/>
        <c:varyColors val="0"/>
        <c:ser>
          <c:idx val="0"/>
          <c:order val="0"/>
          <c:tx>
            <c:strRef>
              <c:f>'Pivot Report'!$L$5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Report'!$K$6:$K$37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Report'!$L$6:$L$37</c:f>
              <c:numCache>
                <c:formatCode>0.00</c:formatCode>
                <c:ptCount val="31"/>
                <c:pt idx="0">
                  <c:v>34.5</c:v>
                </c:pt>
                <c:pt idx="1">
                  <c:v>35.4</c:v>
                </c:pt>
                <c:pt idx="2">
                  <c:v>34.928571428571431</c:v>
                </c:pt>
                <c:pt idx="3">
                  <c:v>44.25</c:v>
                </c:pt>
                <c:pt idx="4">
                  <c:v>40.1875</c:v>
                </c:pt>
                <c:pt idx="5">
                  <c:v>35</c:v>
                </c:pt>
                <c:pt idx="6">
                  <c:v>43.142857142857146</c:v>
                </c:pt>
                <c:pt idx="7">
                  <c:v>43.6875</c:v>
                </c:pt>
                <c:pt idx="8">
                  <c:v>33.857142857142854</c:v>
                </c:pt>
                <c:pt idx="9">
                  <c:v>40.1875</c:v>
                </c:pt>
                <c:pt idx="10">
                  <c:v>34.9375</c:v>
                </c:pt>
                <c:pt idx="11">
                  <c:v>28.684210526315791</c:v>
                </c:pt>
                <c:pt idx="12">
                  <c:v>25</c:v>
                </c:pt>
                <c:pt idx="13">
                  <c:v>35.46153846153846</c:v>
                </c:pt>
                <c:pt idx="14">
                  <c:v>33.814814814814817</c:v>
                </c:pt>
                <c:pt idx="15">
                  <c:v>33.631578947368418</c:v>
                </c:pt>
                <c:pt idx="16">
                  <c:v>36.611111111111114</c:v>
                </c:pt>
                <c:pt idx="17">
                  <c:v>30.5</c:v>
                </c:pt>
                <c:pt idx="18">
                  <c:v>33.6</c:v>
                </c:pt>
                <c:pt idx="19">
                  <c:v>26.75</c:v>
                </c:pt>
                <c:pt idx="20">
                  <c:v>37.684210526315788</c:v>
                </c:pt>
                <c:pt idx="21">
                  <c:v>36.611111111111114</c:v>
                </c:pt>
                <c:pt idx="22">
                  <c:v>35.428571428571431</c:v>
                </c:pt>
                <c:pt idx="23">
                  <c:v>31.944444444444443</c:v>
                </c:pt>
                <c:pt idx="24">
                  <c:v>31.875</c:v>
                </c:pt>
                <c:pt idx="25">
                  <c:v>28.642857142857142</c:v>
                </c:pt>
                <c:pt idx="26">
                  <c:v>39.214285714285715</c:v>
                </c:pt>
                <c:pt idx="27">
                  <c:v>32.0625</c:v>
                </c:pt>
                <c:pt idx="28">
                  <c:v>28.285714285714285</c:v>
                </c:pt>
                <c:pt idx="29">
                  <c:v>35.476190476190474</c:v>
                </c:pt>
                <c:pt idx="30">
                  <c:v>39.799999999999997</c:v>
                </c:pt>
              </c:numCache>
            </c:numRef>
          </c:val>
          <c:extLst>
            <c:ext xmlns:c16="http://schemas.microsoft.com/office/drawing/2014/chart" uri="{C3380CC4-5D6E-409C-BE32-E72D297353CC}">
              <c16:uniqueId val="{00000003-635F-4FE8-BE77-C1CC4019BD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7306479"/>
        <c:axId val="1387300239"/>
      </c:areaChart>
      <c:catAx>
        <c:axId val="13873064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7300239"/>
        <c:crosses val="autoZero"/>
        <c:auto val="1"/>
        <c:lblAlgn val="ctr"/>
        <c:lblOffset val="100"/>
        <c:noMultiLvlLbl val="0"/>
      </c:catAx>
      <c:valAx>
        <c:axId val="1387300239"/>
        <c:scaling>
          <c:orientation val="minMax"/>
        </c:scaling>
        <c:delete val="1"/>
        <c:axPos val="l"/>
        <c:numFmt formatCode="0.00" sourceLinked="1"/>
        <c:majorTickMark val="out"/>
        <c:minorTickMark val="none"/>
        <c:tickLblPos val="nextTo"/>
        <c:crossAx val="1387306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08791222832218E-2"/>
          <c:y val="1.787405686201932E-2"/>
          <c:w val="0.87018241755433556"/>
          <c:h val="0.63021391164586282"/>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1-Dec</c:v>
                </c:pt>
                <c:pt idx="1">
                  <c:v>2-Dec</c:v>
                </c:pt>
                <c:pt idx="2">
                  <c:v>3-Dec</c:v>
                </c:pt>
                <c:pt idx="3">
                  <c:v>4-Dec</c:v>
                </c:pt>
                <c:pt idx="4">
                  <c:v>5-Dec</c:v>
                </c:pt>
                <c:pt idx="5">
                  <c:v>6-Dec</c:v>
                </c:pt>
                <c:pt idx="6">
                  <c:v>7-Dec</c:v>
                </c:pt>
                <c:pt idx="7">
                  <c:v>8-Dec</c:v>
                </c:pt>
                <c:pt idx="8">
                  <c:v>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'Pivot Report'!$E$6:$E$37</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3-E669-475A-8B01-DDD88CF7C4E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647456"/>
        <c:axId val="82649856"/>
      </c:areaChart>
      <c:catAx>
        <c:axId val="826474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649856"/>
        <c:crosses val="autoZero"/>
        <c:auto val="1"/>
        <c:lblAlgn val="ctr"/>
        <c:lblOffset val="100"/>
        <c:noMultiLvlLbl val="0"/>
      </c:catAx>
      <c:valAx>
        <c:axId val="82649856"/>
        <c:scaling>
          <c:orientation val="minMax"/>
        </c:scaling>
        <c:delete val="1"/>
        <c:axPos val="l"/>
        <c:numFmt formatCode="General" sourceLinked="1"/>
        <c:majorTickMark val="out"/>
        <c:minorTickMark val="none"/>
        <c:tickLblPos val="nextTo"/>
        <c:crossAx val="82647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Trend'!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48</xdr:row>
      <xdr:rowOff>0</xdr:rowOff>
    </xdr:from>
    <xdr:to>
      <xdr:col>4</xdr:col>
      <xdr:colOff>0</xdr:colOff>
      <xdr:row>50</xdr:row>
      <xdr:rowOff>22860</xdr:rowOff>
    </xdr:to>
    <xdr:graphicFrame macro="">
      <xdr:nvGraphicFramePr>
        <xdr:cNvPr id="7" name="Chart 6">
          <a:extLst>
            <a:ext uri="{FF2B5EF4-FFF2-40B4-BE49-F238E27FC236}">
              <a16:creationId xmlns:a16="http://schemas.microsoft.com/office/drawing/2014/main" id="{CD119B17-5389-53F9-DD2F-961EB2940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43793</xdr:colOff>
      <xdr:row>0</xdr:row>
      <xdr:rowOff>52553</xdr:rowOff>
    </xdr:from>
    <xdr:to>
      <xdr:col>5</xdr:col>
      <xdr:colOff>170791</xdr:colOff>
      <xdr:row>3</xdr:row>
      <xdr:rowOff>2</xdr:rowOff>
    </xdr:to>
    <xdr:sp macro="" textlink="">
      <xdr:nvSpPr>
        <xdr:cNvPr id="2" name="Rectangle: Rounded Corners 1">
          <a:extLst>
            <a:ext uri="{FF2B5EF4-FFF2-40B4-BE49-F238E27FC236}">
              <a16:creationId xmlns:a16="http://schemas.microsoft.com/office/drawing/2014/main" id="{68B41D37-C97E-DE1C-C8EB-CDCD74A998E2}"/>
            </a:ext>
          </a:extLst>
        </xdr:cNvPr>
        <xdr:cNvSpPr/>
      </xdr:nvSpPr>
      <xdr:spPr>
        <a:xfrm>
          <a:off x="43793" y="52553"/>
          <a:ext cx="3170619" cy="499242"/>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201448</xdr:colOff>
      <xdr:row>0</xdr:row>
      <xdr:rowOff>43794</xdr:rowOff>
    </xdr:from>
    <xdr:to>
      <xdr:col>7</xdr:col>
      <xdr:colOff>8759</xdr:colOff>
      <xdr:row>2</xdr:row>
      <xdr:rowOff>175174</xdr:rowOff>
    </xdr:to>
    <xdr:sp macro="" textlink="">
      <xdr:nvSpPr>
        <xdr:cNvPr id="3" name="Rectangle: Rounded Corners 2">
          <a:extLst>
            <a:ext uri="{FF2B5EF4-FFF2-40B4-BE49-F238E27FC236}">
              <a16:creationId xmlns:a16="http://schemas.microsoft.com/office/drawing/2014/main" id="{37839466-516B-3653-F497-2172B4EFB7CE}"/>
            </a:ext>
          </a:extLst>
        </xdr:cNvPr>
        <xdr:cNvSpPr/>
      </xdr:nvSpPr>
      <xdr:spPr>
        <a:xfrm>
          <a:off x="3245069" y="43794"/>
          <a:ext cx="1024759" cy="499242"/>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39414</xdr:colOff>
      <xdr:row>0</xdr:row>
      <xdr:rowOff>43794</xdr:rowOff>
    </xdr:from>
    <xdr:to>
      <xdr:col>9</xdr:col>
      <xdr:colOff>306240</xdr:colOff>
      <xdr:row>5</xdr:row>
      <xdr:rowOff>135759</xdr:rowOff>
    </xdr:to>
    <xdr:sp macro="" textlink="">
      <xdr:nvSpPr>
        <xdr:cNvPr id="4" name="Rectangle: Rounded Corners 3">
          <a:extLst>
            <a:ext uri="{FF2B5EF4-FFF2-40B4-BE49-F238E27FC236}">
              <a16:creationId xmlns:a16="http://schemas.microsoft.com/office/drawing/2014/main" id="{3CEA4C4E-0E32-E44D-5762-1E2DADD4622C}"/>
            </a:ext>
          </a:extLst>
        </xdr:cNvPr>
        <xdr:cNvSpPr/>
      </xdr:nvSpPr>
      <xdr:spPr>
        <a:xfrm>
          <a:off x="4329578" y="43794"/>
          <a:ext cx="1488114" cy="1005321"/>
        </a:xfrm>
        <a:prstGeom prst="roundRect">
          <a:avLst>
            <a:gd name="adj" fmla="val 1092"/>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341899</xdr:colOff>
      <xdr:row>0</xdr:row>
      <xdr:rowOff>43794</xdr:rowOff>
    </xdr:from>
    <xdr:to>
      <xdr:col>12</xdr:col>
      <xdr:colOff>0</xdr:colOff>
      <xdr:row>5</xdr:row>
      <xdr:rowOff>135759</xdr:rowOff>
    </xdr:to>
    <xdr:sp macro="" textlink="">
      <xdr:nvSpPr>
        <xdr:cNvPr id="5" name="Rectangle: Rounded Corners 4">
          <a:extLst>
            <a:ext uri="{FF2B5EF4-FFF2-40B4-BE49-F238E27FC236}">
              <a16:creationId xmlns:a16="http://schemas.microsoft.com/office/drawing/2014/main" id="{6D7055CD-162B-86E6-7326-864DD2128830}"/>
            </a:ext>
          </a:extLst>
        </xdr:cNvPr>
        <xdr:cNvSpPr/>
      </xdr:nvSpPr>
      <xdr:spPr>
        <a:xfrm>
          <a:off x="5853351" y="43794"/>
          <a:ext cx="1490033" cy="1005321"/>
        </a:xfrm>
        <a:prstGeom prst="roundRect">
          <a:avLst>
            <a:gd name="adj" fmla="val 1612"/>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35035</xdr:colOff>
      <xdr:row>3</xdr:row>
      <xdr:rowOff>43793</xdr:rowOff>
    </xdr:from>
    <xdr:to>
      <xdr:col>1</xdr:col>
      <xdr:colOff>153276</xdr:colOff>
      <xdr:row>15</xdr:row>
      <xdr:rowOff>179551</xdr:rowOff>
    </xdr:to>
    <xdr:sp macro="" textlink="">
      <xdr:nvSpPr>
        <xdr:cNvPr id="6" name="Rectangle: Rounded Corners 5">
          <a:extLst>
            <a:ext uri="{FF2B5EF4-FFF2-40B4-BE49-F238E27FC236}">
              <a16:creationId xmlns:a16="http://schemas.microsoft.com/office/drawing/2014/main" id="{ABB78E4C-9BAD-E6FC-61E4-06E67810C711}"/>
            </a:ext>
          </a:extLst>
        </xdr:cNvPr>
        <xdr:cNvSpPr/>
      </xdr:nvSpPr>
      <xdr:spPr>
        <a:xfrm>
          <a:off x="35035" y="595586"/>
          <a:ext cx="726965" cy="2342931"/>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205828</xdr:colOff>
      <xdr:row>3</xdr:row>
      <xdr:rowOff>48173</xdr:rowOff>
    </xdr:from>
    <xdr:to>
      <xdr:col>3</xdr:col>
      <xdr:colOff>97481</xdr:colOff>
      <xdr:row>7</xdr:row>
      <xdr:rowOff>74448</xdr:rowOff>
    </xdr:to>
    <xdr:sp macro="" textlink="">
      <xdr:nvSpPr>
        <xdr:cNvPr id="7" name="Rectangle: Rounded Corners 6">
          <a:extLst>
            <a:ext uri="{FF2B5EF4-FFF2-40B4-BE49-F238E27FC236}">
              <a16:creationId xmlns:a16="http://schemas.microsoft.com/office/drawing/2014/main" id="{300A2E75-CCD8-0596-D553-95EB432F8300}"/>
            </a:ext>
          </a:extLst>
        </xdr:cNvPr>
        <xdr:cNvSpPr/>
      </xdr:nvSpPr>
      <xdr:spPr>
        <a:xfrm>
          <a:off x="814552" y="599966"/>
          <a:ext cx="1109101" cy="761999"/>
        </a:xfrm>
        <a:prstGeom prst="roundRect">
          <a:avLst>
            <a:gd name="adj" fmla="val 660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161468</xdr:colOff>
      <xdr:row>3</xdr:row>
      <xdr:rowOff>48173</xdr:rowOff>
    </xdr:from>
    <xdr:to>
      <xdr:col>5</xdr:col>
      <xdr:colOff>53120</xdr:colOff>
      <xdr:row>7</xdr:row>
      <xdr:rowOff>74448</xdr:rowOff>
    </xdr:to>
    <xdr:sp macro="" textlink="">
      <xdr:nvSpPr>
        <xdr:cNvPr id="8" name="Rectangle: Rounded Corners 7">
          <a:extLst>
            <a:ext uri="{FF2B5EF4-FFF2-40B4-BE49-F238E27FC236}">
              <a16:creationId xmlns:a16="http://schemas.microsoft.com/office/drawing/2014/main" id="{106FE8E7-51A0-DC43-8E3E-E6647642E810}"/>
            </a:ext>
          </a:extLst>
        </xdr:cNvPr>
        <xdr:cNvSpPr/>
      </xdr:nvSpPr>
      <xdr:spPr>
        <a:xfrm>
          <a:off x="1987640" y="599966"/>
          <a:ext cx="1109101" cy="761999"/>
        </a:xfrm>
        <a:prstGeom prst="roundRect">
          <a:avLst>
            <a:gd name="adj" fmla="val 660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101449</xdr:colOff>
      <xdr:row>3</xdr:row>
      <xdr:rowOff>48173</xdr:rowOff>
    </xdr:from>
    <xdr:to>
      <xdr:col>6</xdr:col>
      <xdr:colOff>619403</xdr:colOff>
      <xdr:row>7</xdr:row>
      <xdr:rowOff>74448</xdr:rowOff>
    </xdr:to>
    <xdr:sp macro="" textlink="">
      <xdr:nvSpPr>
        <xdr:cNvPr id="9" name="Rectangle: Rounded Corners 8">
          <a:extLst>
            <a:ext uri="{FF2B5EF4-FFF2-40B4-BE49-F238E27FC236}">
              <a16:creationId xmlns:a16="http://schemas.microsoft.com/office/drawing/2014/main" id="{C87492CE-FB4E-B0A0-EDF7-06E47A415ED3}"/>
            </a:ext>
          </a:extLst>
        </xdr:cNvPr>
        <xdr:cNvSpPr/>
      </xdr:nvSpPr>
      <xdr:spPr>
        <a:xfrm>
          <a:off x="3154668" y="596187"/>
          <a:ext cx="1128598" cy="756960"/>
        </a:xfrm>
        <a:prstGeom prst="roundRect">
          <a:avLst>
            <a:gd name="adj" fmla="val 660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205828</xdr:colOff>
      <xdr:row>9</xdr:row>
      <xdr:rowOff>144519</xdr:rowOff>
    </xdr:from>
    <xdr:to>
      <xdr:col>7</xdr:col>
      <xdr:colOff>8760</xdr:colOff>
      <xdr:row>15</xdr:row>
      <xdr:rowOff>175172</xdr:rowOff>
    </xdr:to>
    <xdr:sp macro="" textlink="">
      <xdr:nvSpPr>
        <xdr:cNvPr id="11" name="Rectangle: Rounded Corners 10">
          <a:extLst>
            <a:ext uri="{FF2B5EF4-FFF2-40B4-BE49-F238E27FC236}">
              <a16:creationId xmlns:a16="http://schemas.microsoft.com/office/drawing/2014/main" id="{E4010266-E5F1-2411-BEEC-CBD43147A075}"/>
            </a:ext>
          </a:extLst>
        </xdr:cNvPr>
        <xdr:cNvSpPr/>
      </xdr:nvSpPr>
      <xdr:spPr>
        <a:xfrm>
          <a:off x="814552" y="1799898"/>
          <a:ext cx="3472794" cy="1134240"/>
        </a:xfrm>
        <a:prstGeom prst="roundRect">
          <a:avLst>
            <a:gd name="adj" fmla="val 660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17517</xdr:colOff>
      <xdr:row>15</xdr:row>
      <xdr:rowOff>175172</xdr:rowOff>
    </xdr:from>
    <xdr:to>
      <xdr:col>12</xdr:col>
      <xdr:colOff>293413</xdr:colOff>
      <xdr:row>16</xdr:row>
      <xdr:rowOff>4379</xdr:rowOff>
    </xdr:to>
    <xdr:cxnSp macro="">
      <xdr:nvCxnSpPr>
        <xdr:cNvPr id="13" name="Straight Connector 12">
          <a:extLst>
            <a:ext uri="{FF2B5EF4-FFF2-40B4-BE49-F238E27FC236}">
              <a16:creationId xmlns:a16="http://schemas.microsoft.com/office/drawing/2014/main" id="{B1FF542D-DA79-F06E-6631-81FE65E696BD}"/>
            </a:ext>
          </a:extLst>
        </xdr:cNvPr>
        <xdr:cNvCxnSpPr/>
      </xdr:nvCxnSpPr>
      <xdr:spPr>
        <a:xfrm>
          <a:off x="17517" y="2934138"/>
          <a:ext cx="7580586" cy="13138"/>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205828</xdr:colOff>
      <xdr:row>7</xdr:row>
      <xdr:rowOff>100726</xdr:rowOff>
    </xdr:from>
    <xdr:to>
      <xdr:col>7</xdr:col>
      <xdr:colOff>8760</xdr:colOff>
      <xdr:row>9</xdr:row>
      <xdr:rowOff>109483</xdr:rowOff>
    </xdr:to>
    <xdr:sp macro="" textlink="">
      <xdr:nvSpPr>
        <xdr:cNvPr id="16" name="Rectangle: Rounded Corners 15">
          <a:extLst>
            <a:ext uri="{FF2B5EF4-FFF2-40B4-BE49-F238E27FC236}">
              <a16:creationId xmlns:a16="http://schemas.microsoft.com/office/drawing/2014/main" id="{4A42E1BC-FDFC-FCC5-3572-46E013C3F49F}"/>
            </a:ext>
          </a:extLst>
        </xdr:cNvPr>
        <xdr:cNvSpPr/>
      </xdr:nvSpPr>
      <xdr:spPr>
        <a:xfrm>
          <a:off x="814552" y="1388243"/>
          <a:ext cx="3472794" cy="376619"/>
        </a:xfrm>
        <a:prstGeom prst="roundRect">
          <a:avLst>
            <a:gd name="adj" fmla="val 6604"/>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4380</xdr:colOff>
      <xdr:row>3</xdr:row>
      <xdr:rowOff>13138</xdr:rowOff>
    </xdr:from>
    <xdr:to>
      <xdr:col>7</xdr:col>
      <xdr:colOff>4380</xdr:colOff>
      <xdr:row>16</xdr:row>
      <xdr:rowOff>17517</xdr:rowOff>
    </xdr:to>
    <xdr:cxnSp macro="">
      <xdr:nvCxnSpPr>
        <xdr:cNvPr id="18" name="Straight Connector 17">
          <a:extLst>
            <a:ext uri="{FF2B5EF4-FFF2-40B4-BE49-F238E27FC236}">
              <a16:creationId xmlns:a16="http://schemas.microsoft.com/office/drawing/2014/main" id="{A8AFFDEC-64A2-9DA3-70AE-0D96B6D214C7}"/>
            </a:ext>
          </a:extLst>
        </xdr:cNvPr>
        <xdr:cNvCxnSpPr/>
      </xdr:nvCxnSpPr>
      <xdr:spPr>
        <a:xfrm>
          <a:off x="4282966" y="564931"/>
          <a:ext cx="0" cy="2395483"/>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0</xdr:row>
      <xdr:rowOff>17517</xdr:rowOff>
    </xdr:from>
    <xdr:to>
      <xdr:col>12</xdr:col>
      <xdr:colOff>0</xdr:colOff>
      <xdr:row>18</xdr:row>
      <xdr:rowOff>4379</xdr:rowOff>
    </xdr:to>
    <xdr:cxnSp macro="">
      <xdr:nvCxnSpPr>
        <xdr:cNvPr id="20" name="Straight Connector 19">
          <a:extLst>
            <a:ext uri="{FF2B5EF4-FFF2-40B4-BE49-F238E27FC236}">
              <a16:creationId xmlns:a16="http://schemas.microsoft.com/office/drawing/2014/main" id="{A3504C7F-1355-0496-07EE-3B9831DA37B9}"/>
            </a:ext>
          </a:extLst>
        </xdr:cNvPr>
        <xdr:cNvCxnSpPr/>
      </xdr:nvCxnSpPr>
      <xdr:spPr>
        <a:xfrm>
          <a:off x="7322207" y="17517"/>
          <a:ext cx="0" cy="3297621"/>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43793</xdr:colOff>
      <xdr:row>5</xdr:row>
      <xdr:rowOff>182671</xdr:rowOff>
    </xdr:from>
    <xdr:to>
      <xdr:col>12</xdr:col>
      <xdr:colOff>0</xdr:colOff>
      <xdr:row>16</xdr:row>
      <xdr:rowOff>4378</xdr:rowOff>
    </xdr:to>
    <xdr:sp macro="" textlink="">
      <xdr:nvSpPr>
        <xdr:cNvPr id="22" name="Rectangle: Rounded Corners 21">
          <a:extLst>
            <a:ext uri="{FF2B5EF4-FFF2-40B4-BE49-F238E27FC236}">
              <a16:creationId xmlns:a16="http://schemas.microsoft.com/office/drawing/2014/main" id="{59A2776E-85CA-EB38-3840-5FFD875BE937}"/>
            </a:ext>
          </a:extLst>
        </xdr:cNvPr>
        <xdr:cNvSpPr/>
      </xdr:nvSpPr>
      <xdr:spPr>
        <a:xfrm>
          <a:off x="4333957" y="1096027"/>
          <a:ext cx="3009427" cy="1831091"/>
        </a:xfrm>
        <a:prstGeom prst="roundRect">
          <a:avLst>
            <a:gd name="adj" fmla="val 1560"/>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578069</xdr:colOff>
      <xdr:row>0</xdr:row>
      <xdr:rowOff>78829</xdr:rowOff>
    </xdr:from>
    <xdr:to>
      <xdr:col>4</xdr:col>
      <xdr:colOff>586827</xdr:colOff>
      <xdr:row>1</xdr:row>
      <xdr:rowOff>170794</xdr:rowOff>
    </xdr:to>
    <xdr:sp macro="" textlink="">
      <xdr:nvSpPr>
        <xdr:cNvPr id="23" name="TextBox 22">
          <a:extLst>
            <a:ext uri="{FF2B5EF4-FFF2-40B4-BE49-F238E27FC236}">
              <a16:creationId xmlns:a16="http://schemas.microsoft.com/office/drawing/2014/main" id="{EB694BAF-9456-F413-8D60-33B6503BA52E}"/>
            </a:ext>
          </a:extLst>
        </xdr:cNvPr>
        <xdr:cNvSpPr txBox="1"/>
      </xdr:nvSpPr>
      <xdr:spPr>
        <a:xfrm>
          <a:off x="578069" y="78829"/>
          <a:ext cx="2443655" cy="275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Hospital Emergency Dashboard</a:t>
          </a:r>
        </a:p>
      </xdr:txBody>
    </xdr:sp>
    <xdr:clientData/>
  </xdr:twoCellAnchor>
  <xdr:twoCellAnchor editAs="oneCell">
    <xdr:from>
      <xdr:col>0</xdr:col>
      <xdr:colOff>30654</xdr:colOff>
      <xdr:row>0</xdr:row>
      <xdr:rowOff>0</xdr:rowOff>
    </xdr:from>
    <xdr:to>
      <xdr:col>1</xdr:col>
      <xdr:colOff>100723</xdr:colOff>
      <xdr:row>3</xdr:row>
      <xdr:rowOff>56930</xdr:rowOff>
    </xdr:to>
    <xdr:pic>
      <xdr:nvPicPr>
        <xdr:cNvPr id="25" name="Picture 24">
          <a:extLst>
            <a:ext uri="{FF2B5EF4-FFF2-40B4-BE49-F238E27FC236}">
              <a16:creationId xmlns:a16="http://schemas.microsoft.com/office/drawing/2014/main" id="{BABCD81F-D172-DCE7-7204-329269D3521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574" r="15469"/>
        <a:stretch>
          <a:fillRect/>
        </a:stretch>
      </xdr:blipFill>
      <xdr:spPr>
        <a:xfrm>
          <a:off x="30654" y="0"/>
          <a:ext cx="678793" cy="608723"/>
        </a:xfrm>
        <a:prstGeom prst="rect">
          <a:avLst/>
        </a:prstGeom>
      </xdr:spPr>
    </xdr:pic>
    <xdr:clientData/>
  </xdr:twoCellAnchor>
  <xdr:twoCellAnchor editAs="absolute">
    <xdr:from>
      <xdr:col>2</xdr:col>
      <xdr:colOff>104229</xdr:colOff>
      <xdr:row>1</xdr:row>
      <xdr:rowOff>135759</xdr:rowOff>
    </xdr:from>
    <xdr:to>
      <xdr:col>3</xdr:col>
      <xdr:colOff>459829</xdr:colOff>
      <xdr:row>2</xdr:row>
      <xdr:rowOff>174298</xdr:rowOff>
    </xdr:to>
    <xdr:sp macro="" textlink="">
      <xdr:nvSpPr>
        <xdr:cNvPr id="26" name="TextBox 25">
          <a:extLst>
            <a:ext uri="{FF2B5EF4-FFF2-40B4-BE49-F238E27FC236}">
              <a16:creationId xmlns:a16="http://schemas.microsoft.com/office/drawing/2014/main" id="{A8BFD5E4-8CCB-34AB-3BB5-8F98E86F156F}"/>
            </a:ext>
          </a:extLst>
        </xdr:cNvPr>
        <xdr:cNvSpPr txBox="1"/>
      </xdr:nvSpPr>
      <xdr:spPr>
        <a:xfrm>
          <a:off x="1321677" y="319690"/>
          <a:ext cx="964324"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Monthly</a:t>
          </a:r>
          <a:r>
            <a:rPr lang="en-IN" sz="1100" baseline="0"/>
            <a:t> Report</a:t>
          </a:r>
          <a:endParaRPr lang="en-IN" sz="1100"/>
        </a:p>
      </xdr:txBody>
    </xdr:sp>
    <xdr:clientData/>
  </xdr:twoCellAnchor>
  <xdr:twoCellAnchor editAs="absolute">
    <xdr:from>
      <xdr:col>1</xdr:col>
      <xdr:colOff>240863</xdr:colOff>
      <xdr:row>4</xdr:row>
      <xdr:rowOff>47297</xdr:rowOff>
    </xdr:from>
    <xdr:to>
      <xdr:col>3</xdr:col>
      <xdr:colOff>127001</xdr:colOff>
      <xdr:row>5</xdr:row>
      <xdr:rowOff>85836</xdr:rowOff>
    </xdr:to>
    <xdr:sp macro="" textlink="">
      <xdr:nvSpPr>
        <xdr:cNvPr id="27" name="TextBox 26">
          <a:extLst>
            <a:ext uri="{FF2B5EF4-FFF2-40B4-BE49-F238E27FC236}">
              <a16:creationId xmlns:a16="http://schemas.microsoft.com/office/drawing/2014/main" id="{0138F8B9-34D1-9B73-94BF-AB52AA0DC9A2}"/>
            </a:ext>
          </a:extLst>
        </xdr:cNvPr>
        <xdr:cNvSpPr txBox="1"/>
      </xdr:nvSpPr>
      <xdr:spPr>
        <a:xfrm>
          <a:off x="849587" y="783021"/>
          <a:ext cx="110358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No.of</a:t>
          </a:r>
          <a:r>
            <a:rPr lang="en-IN" sz="800" baseline="0"/>
            <a:t> Patient</a:t>
          </a:r>
          <a:endParaRPr lang="en-IN" sz="800"/>
        </a:p>
      </xdr:txBody>
    </xdr:sp>
    <xdr:clientData/>
  </xdr:twoCellAnchor>
  <xdr:twoCellAnchor editAs="absolute">
    <xdr:from>
      <xdr:col>1</xdr:col>
      <xdr:colOff>205828</xdr:colOff>
      <xdr:row>3</xdr:row>
      <xdr:rowOff>64815</xdr:rowOff>
    </xdr:from>
    <xdr:to>
      <xdr:col>3</xdr:col>
      <xdr:colOff>91966</xdr:colOff>
      <xdr:row>4</xdr:row>
      <xdr:rowOff>103354</xdr:rowOff>
    </xdr:to>
    <xdr:sp macro="" textlink="'Pivot Report'!A5">
      <xdr:nvSpPr>
        <xdr:cNvPr id="28" name="TextBox 27">
          <a:extLst>
            <a:ext uri="{FF2B5EF4-FFF2-40B4-BE49-F238E27FC236}">
              <a16:creationId xmlns:a16="http://schemas.microsoft.com/office/drawing/2014/main" id="{355F75AE-9294-AFB8-E3D8-8BC116C1C075}"/>
            </a:ext>
          </a:extLst>
        </xdr:cNvPr>
        <xdr:cNvSpPr txBox="1"/>
      </xdr:nvSpPr>
      <xdr:spPr>
        <a:xfrm>
          <a:off x="814552" y="616608"/>
          <a:ext cx="110358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C279243-A84D-4751-BA3E-869F20734F8A}" type="TxLink">
            <a:rPr lang="en-US" sz="1100" b="0" i="0" u="none" strike="noStrike">
              <a:solidFill>
                <a:srgbClr val="000000"/>
              </a:solidFill>
              <a:latin typeface="Calibri"/>
              <a:ea typeface="Calibri"/>
              <a:cs typeface="Calibri"/>
            </a:rPr>
            <a:t>489</a:t>
          </a:fld>
          <a:endParaRPr lang="en-IN" sz="1100"/>
        </a:p>
      </xdr:txBody>
    </xdr:sp>
    <xdr:clientData/>
  </xdr:twoCellAnchor>
  <xdr:twoCellAnchor editAs="absolute">
    <xdr:from>
      <xdr:col>3</xdr:col>
      <xdr:colOff>170795</xdr:colOff>
      <xdr:row>4</xdr:row>
      <xdr:rowOff>47297</xdr:rowOff>
    </xdr:from>
    <xdr:to>
      <xdr:col>5</xdr:col>
      <xdr:colOff>57411</xdr:colOff>
      <xdr:row>5</xdr:row>
      <xdr:rowOff>85836</xdr:rowOff>
    </xdr:to>
    <xdr:sp macro="" textlink="">
      <xdr:nvSpPr>
        <xdr:cNvPr id="29" name="TextBox 28">
          <a:extLst>
            <a:ext uri="{FF2B5EF4-FFF2-40B4-BE49-F238E27FC236}">
              <a16:creationId xmlns:a16="http://schemas.microsoft.com/office/drawing/2014/main" id="{3C3947E6-E843-B3C0-01B5-98E8A84BF1A2}"/>
            </a:ext>
          </a:extLst>
        </xdr:cNvPr>
        <xdr:cNvSpPr txBox="1"/>
      </xdr:nvSpPr>
      <xdr:spPr>
        <a:xfrm>
          <a:off x="2002727" y="777982"/>
          <a:ext cx="1107903" cy="22121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 Wait Time</a:t>
          </a:r>
        </a:p>
      </xdr:txBody>
    </xdr:sp>
    <xdr:clientData/>
  </xdr:twoCellAnchor>
  <xdr:twoCellAnchor editAs="absolute">
    <xdr:from>
      <xdr:col>3</xdr:col>
      <xdr:colOff>153277</xdr:colOff>
      <xdr:row>3</xdr:row>
      <xdr:rowOff>56056</xdr:rowOff>
    </xdr:from>
    <xdr:to>
      <xdr:col>5</xdr:col>
      <xdr:colOff>52552</xdr:colOff>
      <xdr:row>4</xdr:row>
      <xdr:rowOff>94595</xdr:rowOff>
    </xdr:to>
    <xdr:sp macro="" textlink="'Pivot Report'!A9">
      <xdr:nvSpPr>
        <xdr:cNvPr id="30" name="TextBox 29">
          <a:extLst>
            <a:ext uri="{FF2B5EF4-FFF2-40B4-BE49-F238E27FC236}">
              <a16:creationId xmlns:a16="http://schemas.microsoft.com/office/drawing/2014/main" id="{B185E876-1E90-6FE2-4C53-BB1FD12E4392}"/>
            </a:ext>
          </a:extLst>
        </xdr:cNvPr>
        <xdr:cNvSpPr txBox="1"/>
      </xdr:nvSpPr>
      <xdr:spPr>
        <a:xfrm>
          <a:off x="1979449" y="607849"/>
          <a:ext cx="1116724"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9C1D63-1799-46FD-98FE-2EB1C9F6E8E7}" type="TxLink">
            <a:rPr lang="en-US" sz="1100" b="0" i="0" u="none" strike="noStrike">
              <a:solidFill>
                <a:srgbClr val="000000"/>
              </a:solidFill>
              <a:latin typeface="Calibri"/>
              <a:ea typeface="Calibri"/>
              <a:cs typeface="Calibri"/>
            </a:rPr>
            <a:t>34.76</a:t>
          </a:fld>
          <a:endParaRPr lang="en-IN" sz="1100"/>
        </a:p>
      </xdr:txBody>
    </xdr:sp>
    <xdr:clientData/>
  </xdr:twoCellAnchor>
  <xdr:twoCellAnchor editAs="absolute">
    <xdr:from>
      <xdr:col>5</xdr:col>
      <xdr:colOff>127000</xdr:colOff>
      <xdr:row>4</xdr:row>
      <xdr:rowOff>47297</xdr:rowOff>
    </xdr:from>
    <xdr:to>
      <xdr:col>7</xdr:col>
      <xdr:colOff>4380</xdr:colOff>
      <xdr:row>5</xdr:row>
      <xdr:rowOff>85836</xdr:rowOff>
    </xdr:to>
    <xdr:sp macro="" textlink="">
      <xdr:nvSpPr>
        <xdr:cNvPr id="31" name="TextBox 30">
          <a:extLst>
            <a:ext uri="{FF2B5EF4-FFF2-40B4-BE49-F238E27FC236}">
              <a16:creationId xmlns:a16="http://schemas.microsoft.com/office/drawing/2014/main" id="{CDF60E26-8546-45B9-9770-CE2D1038578F}"/>
            </a:ext>
          </a:extLst>
        </xdr:cNvPr>
        <xdr:cNvSpPr txBox="1"/>
      </xdr:nvSpPr>
      <xdr:spPr>
        <a:xfrm>
          <a:off x="3170621" y="783021"/>
          <a:ext cx="1112345"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 Score</a:t>
          </a:r>
        </a:p>
      </xdr:txBody>
    </xdr:sp>
    <xdr:clientData/>
  </xdr:twoCellAnchor>
  <xdr:twoCellAnchor editAs="absolute">
    <xdr:from>
      <xdr:col>5</xdr:col>
      <xdr:colOff>126999</xdr:colOff>
      <xdr:row>3</xdr:row>
      <xdr:rowOff>64815</xdr:rowOff>
    </xdr:from>
    <xdr:to>
      <xdr:col>6</xdr:col>
      <xdr:colOff>621861</xdr:colOff>
      <xdr:row>4</xdr:row>
      <xdr:rowOff>103354</xdr:rowOff>
    </xdr:to>
    <xdr:sp macro="" textlink="'Pivot Report'!A14">
      <xdr:nvSpPr>
        <xdr:cNvPr id="32" name="TextBox 31">
          <a:extLst>
            <a:ext uri="{FF2B5EF4-FFF2-40B4-BE49-F238E27FC236}">
              <a16:creationId xmlns:a16="http://schemas.microsoft.com/office/drawing/2014/main" id="{33A1D20B-A082-A5D1-DCEC-425ADED4596B}"/>
            </a:ext>
          </a:extLst>
        </xdr:cNvPr>
        <xdr:cNvSpPr txBox="1"/>
      </xdr:nvSpPr>
      <xdr:spPr>
        <a:xfrm>
          <a:off x="3170620" y="616608"/>
          <a:ext cx="110358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213FA20-039B-46FC-AD3F-293B529C689A}" type="TxLink">
            <a:rPr lang="en-US" sz="1100" b="0" i="0" u="none" strike="noStrike">
              <a:solidFill>
                <a:srgbClr val="000000"/>
              </a:solidFill>
              <a:latin typeface="Calibri"/>
              <a:ea typeface="Calibri"/>
              <a:cs typeface="Calibri"/>
            </a:rPr>
            <a:t>4.68</a:t>
          </a:fld>
          <a:endParaRPr lang="en-IN" sz="1100"/>
        </a:p>
      </xdr:txBody>
    </xdr:sp>
    <xdr:clientData/>
  </xdr:twoCellAnchor>
  <xdr:twoCellAnchor editAs="oneCell">
    <xdr:from>
      <xdr:col>6</xdr:col>
      <xdr:colOff>367863</xdr:colOff>
      <xdr:row>3</xdr:row>
      <xdr:rowOff>44617</xdr:rowOff>
    </xdr:from>
    <xdr:to>
      <xdr:col>6</xdr:col>
      <xdr:colOff>604345</xdr:colOff>
      <xdr:row>4</xdr:row>
      <xdr:rowOff>80977</xdr:rowOff>
    </xdr:to>
    <xdr:pic>
      <xdr:nvPicPr>
        <xdr:cNvPr id="34" name="Graphic 33" descr="Customer review with solid fill">
          <a:extLst>
            <a:ext uri="{FF2B5EF4-FFF2-40B4-BE49-F238E27FC236}">
              <a16:creationId xmlns:a16="http://schemas.microsoft.com/office/drawing/2014/main" id="{B60B8F6F-5FCF-734E-B8B3-CA5B5ADB0B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020208" y="596410"/>
          <a:ext cx="236482" cy="220291"/>
        </a:xfrm>
        <a:prstGeom prst="rect">
          <a:avLst/>
        </a:prstGeom>
      </xdr:spPr>
    </xdr:pic>
    <xdr:clientData/>
  </xdr:twoCellAnchor>
  <xdr:twoCellAnchor editAs="oneCell">
    <xdr:from>
      <xdr:col>4</xdr:col>
      <xdr:colOff>417139</xdr:colOff>
      <xdr:row>3</xdr:row>
      <xdr:rowOff>61312</xdr:rowOff>
    </xdr:from>
    <xdr:to>
      <xdr:col>5</xdr:col>
      <xdr:colOff>91965</xdr:colOff>
      <xdr:row>4</xdr:row>
      <xdr:rowOff>52552</xdr:rowOff>
    </xdr:to>
    <xdr:pic>
      <xdr:nvPicPr>
        <xdr:cNvPr id="36" name="Graphic 35" descr="Hourglass Finished with solid fill">
          <a:extLst>
            <a:ext uri="{FF2B5EF4-FFF2-40B4-BE49-F238E27FC236}">
              <a16:creationId xmlns:a16="http://schemas.microsoft.com/office/drawing/2014/main" id="{6C927556-9083-B5D2-0567-EE1803B3B29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52036" y="613105"/>
          <a:ext cx="283550" cy="175171"/>
        </a:xfrm>
        <a:prstGeom prst="rect">
          <a:avLst/>
        </a:prstGeom>
      </xdr:spPr>
    </xdr:pic>
    <xdr:clientData/>
  </xdr:twoCellAnchor>
  <xdr:twoCellAnchor editAs="oneCell">
    <xdr:from>
      <xdr:col>2</xdr:col>
      <xdr:colOff>411655</xdr:colOff>
      <xdr:row>3</xdr:row>
      <xdr:rowOff>13137</xdr:rowOff>
    </xdr:from>
    <xdr:to>
      <xdr:col>3</xdr:col>
      <xdr:colOff>140138</xdr:colOff>
      <xdr:row>4</xdr:row>
      <xdr:rowOff>100723</xdr:rowOff>
    </xdr:to>
    <xdr:pic>
      <xdr:nvPicPr>
        <xdr:cNvPr id="38" name="Graphic 37" descr="Male profile with solid fill">
          <a:extLst>
            <a:ext uri="{FF2B5EF4-FFF2-40B4-BE49-F238E27FC236}">
              <a16:creationId xmlns:a16="http://schemas.microsoft.com/office/drawing/2014/main" id="{46FFA936-4E79-ECA7-399C-7C606AAB023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29103" y="564930"/>
          <a:ext cx="337207" cy="271517"/>
        </a:xfrm>
        <a:prstGeom prst="rect">
          <a:avLst/>
        </a:prstGeom>
      </xdr:spPr>
    </xdr:pic>
    <xdr:clientData/>
  </xdr:twoCellAnchor>
  <xdr:twoCellAnchor editAs="oneCell">
    <xdr:from>
      <xdr:col>0</xdr:col>
      <xdr:colOff>88726</xdr:colOff>
      <xdr:row>3</xdr:row>
      <xdr:rowOff>57411</xdr:rowOff>
    </xdr:from>
    <xdr:to>
      <xdr:col>1</xdr:col>
      <xdr:colOff>83507</xdr:colOff>
      <xdr:row>15</xdr:row>
      <xdr:rowOff>161794</xdr:rowOff>
    </xdr:to>
    <mc:AlternateContent xmlns:mc="http://schemas.openxmlformats.org/markup-compatibility/2006">
      <mc:Choice xmlns:a14="http://schemas.microsoft.com/office/drawing/2010/main" Requires="a14">
        <xdr:graphicFrame macro="">
          <xdr:nvGraphicFramePr>
            <xdr:cNvPr id="39" name="Date (Month) 1">
              <a:extLst>
                <a:ext uri="{FF2B5EF4-FFF2-40B4-BE49-F238E27FC236}">
                  <a16:creationId xmlns:a16="http://schemas.microsoft.com/office/drawing/2014/main" id="{D02F21A6-5C79-4572-ACD7-705928D0E9A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88726" y="605425"/>
              <a:ext cx="605425" cy="2296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224424</xdr:colOff>
      <xdr:row>4</xdr:row>
      <xdr:rowOff>167013</xdr:rowOff>
    </xdr:from>
    <xdr:to>
      <xdr:col>3</xdr:col>
      <xdr:colOff>73068</xdr:colOff>
      <xdr:row>7</xdr:row>
      <xdr:rowOff>78286</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06F0476B-942D-4319-AACA-92E3F6993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3</xdr:col>
      <xdr:colOff>78287</xdr:colOff>
      <xdr:row>4</xdr:row>
      <xdr:rowOff>156575</xdr:rowOff>
    </xdr:from>
    <xdr:to>
      <xdr:col>5</xdr:col>
      <xdr:colOff>67849</xdr:colOff>
      <xdr:row>8</xdr:row>
      <xdr:rowOff>140918</xdr:rowOff>
    </xdr:to>
    <xdr:graphicFrame macro="">
      <xdr:nvGraphicFramePr>
        <xdr:cNvPr id="41" name="Chart 40">
          <a:hlinkClick xmlns:r="http://schemas.openxmlformats.org/officeDocument/2006/relationships" r:id="rId10"/>
          <a:extLst>
            <a:ext uri="{FF2B5EF4-FFF2-40B4-BE49-F238E27FC236}">
              <a16:creationId xmlns:a16="http://schemas.microsoft.com/office/drawing/2014/main" id="{EA212CB7-C601-40EE-B397-72FC7CD8A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4</xdr:col>
      <xdr:colOff>542795</xdr:colOff>
      <xdr:row>4</xdr:row>
      <xdr:rowOff>172234</xdr:rowOff>
    </xdr:from>
    <xdr:to>
      <xdr:col>7</xdr:col>
      <xdr:colOff>354904</xdr:colOff>
      <xdr:row>9</xdr:row>
      <xdr:rowOff>15658</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1043E798-533E-4C81-9FD2-64296B8CB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193109</xdr:colOff>
          <xdr:row>7</xdr:row>
          <xdr:rowOff>93945</xdr:rowOff>
        </xdr:from>
        <xdr:to>
          <xdr:col>7</xdr:col>
          <xdr:colOff>5220</xdr:colOff>
          <xdr:row>9</xdr:row>
          <xdr:rowOff>109602</xdr:rowOff>
        </xdr:to>
        <xdr:pic>
          <xdr:nvPicPr>
            <xdr:cNvPr id="50" name="Picture 49">
              <a:extLst>
                <a:ext uri="{FF2B5EF4-FFF2-40B4-BE49-F238E27FC236}">
                  <a16:creationId xmlns:a16="http://schemas.microsoft.com/office/drawing/2014/main" id="{DCD027B7-E2BC-F143-9722-AFCEFBF8C487}"/>
                </a:ext>
              </a:extLst>
            </xdr:cNvPr>
            <xdr:cNvPicPr>
              <a:picLocks noChangeAspect="1" noChangeArrowheads="1"/>
              <a:extLst>
                <a:ext uri="{84589F7E-364E-4C9E-8A38-B11213B215E9}">
                  <a14:cameraTool cellRange="'Pivot Report'!$A$48:$D$50" spid="_x0000_s2063"/>
                </a:ext>
              </a:extLst>
            </xdr:cNvPicPr>
          </xdr:nvPicPr>
          <xdr:blipFill>
            <a:blip xmlns:r="http://schemas.openxmlformats.org/officeDocument/2006/relationships" r:embed="rId14"/>
            <a:srcRect/>
            <a:stretch>
              <a:fillRect/>
            </a:stretch>
          </xdr:blipFill>
          <xdr:spPr bwMode="auto">
            <a:xfrm>
              <a:off x="803753" y="1372644"/>
              <a:ext cx="3491631" cy="38099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203548</xdr:colOff>
      <xdr:row>9</xdr:row>
      <xdr:rowOff>146138</xdr:rowOff>
    </xdr:from>
    <xdr:to>
      <xdr:col>7</xdr:col>
      <xdr:colOff>5220</xdr:colOff>
      <xdr:row>15</xdr:row>
      <xdr:rowOff>31316</xdr:rowOff>
    </xdr:to>
    <xdr:graphicFrame macro="">
      <xdr:nvGraphicFramePr>
        <xdr:cNvPr id="51" name="Chart 50">
          <a:extLst>
            <a:ext uri="{FF2B5EF4-FFF2-40B4-BE49-F238E27FC236}">
              <a16:creationId xmlns:a16="http://schemas.microsoft.com/office/drawing/2014/main" id="{ECFE3BE5-D928-453C-87E9-5000A2280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219205</xdr:colOff>
      <xdr:row>14</xdr:row>
      <xdr:rowOff>176734</xdr:rowOff>
    </xdr:from>
    <xdr:to>
      <xdr:col>5</xdr:col>
      <xdr:colOff>213985</xdr:colOff>
      <xdr:row>16</xdr:row>
      <xdr:rowOff>32601</xdr:rowOff>
    </xdr:to>
    <xdr:sp macro="" textlink="">
      <xdr:nvSpPr>
        <xdr:cNvPr id="52" name="TextBox 51">
          <a:extLst>
            <a:ext uri="{FF2B5EF4-FFF2-40B4-BE49-F238E27FC236}">
              <a16:creationId xmlns:a16="http://schemas.microsoft.com/office/drawing/2014/main" id="{EDF032B6-4E14-4793-9534-DC9FB68F90C2}"/>
            </a:ext>
          </a:extLst>
        </xdr:cNvPr>
        <xdr:cNvSpPr txBox="1"/>
      </xdr:nvSpPr>
      <xdr:spPr>
        <a:xfrm>
          <a:off x="1440493" y="2734131"/>
          <a:ext cx="1826711" cy="22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No.of</a:t>
          </a:r>
          <a:r>
            <a:rPr lang="en-IN" sz="800" baseline="0"/>
            <a:t> Patient By Age Group</a:t>
          </a:r>
          <a:endParaRPr lang="en-IN" sz="800"/>
        </a:p>
      </xdr:txBody>
    </xdr:sp>
    <xdr:clientData/>
  </xdr:twoCellAnchor>
  <xdr:twoCellAnchor>
    <xdr:from>
      <xdr:col>7</xdr:col>
      <xdr:colOff>52192</xdr:colOff>
      <xdr:row>6</xdr:row>
      <xdr:rowOff>1</xdr:rowOff>
    </xdr:from>
    <xdr:to>
      <xdr:col>11</xdr:col>
      <xdr:colOff>605424</xdr:colOff>
      <xdr:row>15</xdr:row>
      <xdr:rowOff>10440</xdr:rowOff>
    </xdr:to>
    <xdr:graphicFrame macro="">
      <xdr:nvGraphicFramePr>
        <xdr:cNvPr id="53" name="Chart 52">
          <a:extLst>
            <a:ext uri="{FF2B5EF4-FFF2-40B4-BE49-F238E27FC236}">
              <a16:creationId xmlns:a16="http://schemas.microsoft.com/office/drawing/2014/main" id="{8F89154E-A249-4F50-85E9-709326D92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213987</xdr:colOff>
      <xdr:row>14</xdr:row>
      <xdr:rowOff>167014</xdr:rowOff>
    </xdr:from>
    <xdr:to>
      <xdr:col>11</xdr:col>
      <xdr:colOff>156575</xdr:colOff>
      <xdr:row>15</xdr:row>
      <xdr:rowOff>172233</xdr:rowOff>
    </xdr:to>
    <xdr:sp macro="" textlink="">
      <xdr:nvSpPr>
        <xdr:cNvPr id="58" name="TextBox 57">
          <a:extLst>
            <a:ext uri="{FF2B5EF4-FFF2-40B4-BE49-F238E27FC236}">
              <a16:creationId xmlns:a16="http://schemas.microsoft.com/office/drawing/2014/main" id="{0299F6CC-10D1-49F5-A932-F08C0E429D12}"/>
            </a:ext>
          </a:extLst>
        </xdr:cNvPr>
        <xdr:cNvSpPr txBox="1"/>
      </xdr:nvSpPr>
      <xdr:spPr>
        <a:xfrm>
          <a:off x="4504151" y="2724411"/>
          <a:ext cx="2385164" cy="187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No.of</a:t>
          </a:r>
          <a:r>
            <a:rPr lang="en-IN" sz="800" baseline="0"/>
            <a:t> Patient By Department referral</a:t>
          </a:r>
        </a:p>
      </xdr:txBody>
    </xdr:sp>
    <xdr:clientData/>
  </xdr:twoCellAnchor>
  <xdr:twoCellAnchor>
    <xdr:from>
      <xdr:col>7</xdr:col>
      <xdr:colOff>46974</xdr:colOff>
      <xdr:row>0</xdr:row>
      <xdr:rowOff>46972</xdr:rowOff>
    </xdr:from>
    <xdr:to>
      <xdr:col>9</xdr:col>
      <xdr:colOff>302712</xdr:colOff>
      <xdr:row>5</xdr:row>
      <xdr:rowOff>135699</xdr:rowOff>
    </xdr:to>
    <xdr:graphicFrame macro="">
      <xdr:nvGraphicFramePr>
        <xdr:cNvPr id="59" name="Chart 58">
          <a:extLst>
            <a:ext uri="{FF2B5EF4-FFF2-40B4-BE49-F238E27FC236}">
              <a16:creationId xmlns:a16="http://schemas.microsoft.com/office/drawing/2014/main" id="{6692C90A-2B40-4D1C-83CD-B232ED57E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334027</xdr:colOff>
      <xdr:row>0</xdr:row>
      <xdr:rowOff>41752</xdr:rowOff>
    </xdr:from>
    <xdr:to>
      <xdr:col>11</xdr:col>
      <xdr:colOff>605424</xdr:colOff>
      <xdr:row>5</xdr:row>
      <xdr:rowOff>135699</xdr:rowOff>
    </xdr:to>
    <xdr:graphicFrame macro="">
      <xdr:nvGraphicFramePr>
        <xdr:cNvPr id="61" name="Chart 60">
          <a:extLst>
            <a:ext uri="{FF2B5EF4-FFF2-40B4-BE49-F238E27FC236}">
              <a16:creationId xmlns:a16="http://schemas.microsoft.com/office/drawing/2014/main" id="{6B63CD2E-DEBC-487F-9392-A5C02116A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219206</xdr:colOff>
      <xdr:row>0</xdr:row>
      <xdr:rowOff>104385</xdr:rowOff>
    </xdr:from>
    <xdr:to>
      <xdr:col>6</xdr:col>
      <xdr:colOff>615863</xdr:colOff>
      <xdr:row>2</xdr:row>
      <xdr:rowOff>146137</xdr:rowOff>
    </xdr:to>
    <mc:AlternateContent xmlns:mc="http://schemas.openxmlformats.org/markup-compatibility/2006">
      <mc:Choice xmlns:a14="http://schemas.microsoft.com/office/drawing/2010/main" Requires="a14">
        <xdr:graphicFrame macro="">
          <xdr:nvGraphicFramePr>
            <xdr:cNvPr id="62" name="Date (Year)">
              <a:extLst>
                <a:ext uri="{FF2B5EF4-FFF2-40B4-BE49-F238E27FC236}">
                  <a16:creationId xmlns:a16="http://schemas.microsoft.com/office/drawing/2014/main" id="{EAA1D7AA-5BA9-4DCA-B780-0159A1CFFD3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72425" y="104385"/>
              <a:ext cx="1007301" cy="407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600206</xdr:colOff>
      <xdr:row>0</xdr:row>
      <xdr:rowOff>46974</xdr:rowOff>
    </xdr:from>
    <xdr:to>
      <xdr:col>7</xdr:col>
      <xdr:colOff>156576</xdr:colOff>
      <xdr:row>1</xdr:row>
      <xdr:rowOff>85513</xdr:rowOff>
    </xdr:to>
    <xdr:sp macro="" textlink="">
      <xdr:nvSpPr>
        <xdr:cNvPr id="63" name="TextBox 62">
          <a:extLst>
            <a:ext uri="{FF2B5EF4-FFF2-40B4-BE49-F238E27FC236}">
              <a16:creationId xmlns:a16="http://schemas.microsoft.com/office/drawing/2014/main" id="{2525CC2C-8874-426D-800C-440AC0582E20}"/>
            </a:ext>
          </a:extLst>
        </xdr:cNvPr>
        <xdr:cNvSpPr txBox="1"/>
      </xdr:nvSpPr>
      <xdr:spPr>
        <a:xfrm>
          <a:off x="3042781" y="46974"/>
          <a:ext cx="1403959" cy="221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Select</a:t>
          </a:r>
          <a:r>
            <a:rPr lang="en-IN" sz="800" baseline="0"/>
            <a:t> Year</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0.02733</cdr:x>
      <cdr:y>0.78039</cdr:y>
    </cdr:from>
    <cdr:to>
      <cdr:x>0.96466</cdr:x>
      <cdr:y>1</cdr:y>
    </cdr:to>
    <cdr:sp macro="" textlink="">
      <cdr:nvSpPr>
        <cdr:cNvPr id="2" name="TextBox 26">
          <a:extLst xmlns:a="http://schemas.openxmlformats.org/drawingml/2006/main">
            <a:ext uri="{FF2B5EF4-FFF2-40B4-BE49-F238E27FC236}">
              <a16:creationId xmlns:a16="http://schemas.microsoft.com/office/drawing/2014/main" id="{0138F8B9-34D1-9B73-94BF-AB52AA0DC9A2}"/>
            </a:ext>
          </a:extLst>
        </cdr:cNvPr>
        <cdr:cNvSpPr txBox="1"/>
      </cdr:nvSpPr>
      <cdr:spPr>
        <a:xfrm xmlns:a="http://schemas.openxmlformats.org/drawingml/2006/main">
          <a:off x="40361" y="786091"/>
          <a:ext cx="1384473" cy="22121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Patient</a:t>
          </a:r>
          <a:r>
            <a:rPr lang="en-IN" sz="800" baseline="0"/>
            <a:t> Attended ontime</a:t>
          </a:r>
        </a:p>
      </cdr:txBody>
    </cdr:sp>
  </cdr:relSizeAnchor>
</c:userShapes>
</file>

<file path=xl/drawings/drawing4.xml><?xml version="1.0" encoding="utf-8"?>
<c:userShapes xmlns:c="http://schemas.openxmlformats.org/drawingml/2006/chart">
  <cdr:relSizeAnchor xmlns:cdr="http://schemas.openxmlformats.org/drawingml/2006/chartDrawing">
    <cdr:from>
      <cdr:x>0.03753</cdr:x>
      <cdr:y>0.76684</cdr:y>
    </cdr:from>
    <cdr:to>
      <cdr:x>0.93706</cdr:x>
      <cdr:y>1</cdr:y>
    </cdr:to>
    <cdr:sp macro="" textlink="">
      <cdr:nvSpPr>
        <cdr:cNvPr id="2" name="TextBox 26">
          <a:extLst xmlns:a="http://schemas.openxmlformats.org/drawingml/2006/main">
            <a:ext uri="{FF2B5EF4-FFF2-40B4-BE49-F238E27FC236}">
              <a16:creationId xmlns:a16="http://schemas.microsoft.com/office/drawing/2014/main" id="{0138F8B9-34D1-9B73-94BF-AB52AA0DC9A2}"/>
            </a:ext>
          </a:extLst>
        </cdr:cNvPr>
        <cdr:cNvSpPr txBox="1"/>
      </cdr:nvSpPr>
      <cdr:spPr>
        <a:xfrm xmlns:a="http://schemas.openxmlformats.org/drawingml/2006/main">
          <a:off x="56020" y="772440"/>
          <a:ext cx="1342720" cy="2348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No.of</a:t>
          </a:r>
          <a:r>
            <a:rPr lang="en-IN" sz="800" baseline="0"/>
            <a:t> Patient By Gender</a:t>
          </a:r>
          <a:endParaRPr lang="en-IN" sz="800"/>
        </a:p>
      </cdr:txBody>
    </cdr:sp>
  </cdr:relSizeAnchor>
</c:userShapes>
</file>

<file path=xl/drawings/drawing5.xml><?xml version="1.0" encoding="utf-8"?>
<xdr:wsDr xmlns:xdr="http://schemas.openxmlformats.org/drawingml/2006/spreadsheetDrawing" xmlns:a="http://schemas.openxmlformats.org/drawingml/2006/main">
  <xdr:twoCellAnchor editAs="absolute">
    <xdr:from>
      <xdr:col>0</xdr:col>
      <xdr:colOff>152400</xdr:colOff>
      <xdr:row>2</xdr:row>
      <xdr:rowOff>60960</xdr:rowOff>
    </xdr:from>
    <xdr:to>
      <xdr:col>24</xdr:col>
      <xdr:colOff>99060</xdr:colOff>
      <xdr:row>28</xdr:row>
      <xdr:rowOff>144780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9C75DCCA-3ACA-420A-A3F8-7CD6F4520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15240</xdr:colOff>
      <xdr:row>0</xdr:row>
      <xdr:rowOff>68580</xdr:rowOff>
    </xdr:from>
    <xdr:to>
      <xdr:col>20</xdr:col>
      <xdr:colOff>22860</xdr:colOff>
      <xdr:row>30</xdr:row>
      <xdr:rowOff>152400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8F9DB75A-430E-49A9-9CED-B3FC81648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3</xdr:col>
      <xdr:colOff>0</xdr:colOff>
      <xdr:row>2</xdr:row>
      <xdr:rowOff>99060</xdr:rowOff>
    </xdr:from>
    <xdr:to>
      <xdr:col>12</xdr:col>
      <xdr:colOff>243840</xdr:colOff>
      <xdr:row>20</xdr:row>
      <xdr:rowOff>91440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E31ADF44-8068-4DCD-A6B5-295FFE9CB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6226852" backgroundQuery="1" createdVersion="8" refreshedVersion="8" minRefreshableVersion="3" recordCount="0" supportSubquery="1" supportAdvancedDrill="1" xr:uid="{D0C436BE-82DE-47CF-A982-7A59329BFE44}">
  <cacheSource type="external" connectionId="3"/>
  <cacheFields count="4">
    <cacheField name="[Measures].[Distinct Count of Patient Id]" caption="Distinct Count of Patient Id" numFmtId="0" hierarchy="23" level="32767"/>
    <cacheField name="[Calander_Table].[Date (Day)].[Date (Day)]" caption="Date (Day)" numFmtId="0" hierarchy="2" level="1">
      <sharedItems count="31">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2"/>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1"/>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6226852" backgroundQuery="1" createdVersion="8" refreshedVersion="8" minRefreshableVersion="3" recordCount="0" supportSubquery="1" supportAdvancedDrill="1" xr:uid="{F259BA6B-40E7-4829-8589-3EE12D21BAAC}">
  <cacheSource type="external" connectionId="3"/>
  <cacheFields count="3">
    <cacheField name="[Measures].[Distinct Count of Patient Id]" caption="Distinct Count of Patient Id" numFmtId="0" hierarchy="23"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6458337" backgroundQuery="1" createdVersion="8" refreshedVersion="8" minRefreshableVersion="3" recordCount="0" supportSubquery="1" supportAdvancedDrill="1" xr:uid="{97E9C458-EF82-4C97-82E4-DBCE9DEA119A}">
  <cacheSource type="external" connectionId="3"/>
  <cacheFields count="3">
    <cacheField name="[Measures].[Average of Patient Waittime]" caption="Average of Patient Waittime" numFmtId="0" hierarchy="25"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6458337" backgroundQuery="1" createdVersion="8" refreshedVersion="8" minRefreshableVersion="3" recordCount="0" supportSubquery="1" supportAdvancedDrill="1" xr:uid="{17DFF23C-CB7D-4953-A61D-444F581B0A0F}">
  <cacheSource type="external" connectionId="3"/>
  <cacheFields count="3">
    <cacheField name="[Measures].[Average of Patient Satisfaction Score]" caption="Average of Patient Satisfaction Score" numFmtId="0" hierarchy="27"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6921298" backgroundQuery="1" createdVersion="8" refreshedVersion="8" minRefreshableVersion="3" recordCount="0" supportSubquery="1" supportAdvancedDrill="1" xr:uid="{23F36047-889E-42E7-AF35-B14617CE3385}">
  <cacheSource type="external" connectionId="3"/>
  <cacheFields count="4">
    <cacheField name="[Calander_Table].[Date (Day)].[Date (Day)]" caption="Date (Day)" numFmtId="0" hierarchy="2" level="1">
      <sharedItems count="32">
        <s v="1-Dec"/>
        <s v="2-Dec"/>
        <s v="3-Dec"/>
        <s v="4-Dec"/>
        <s v="5-Dec"/>
        <s v="6-Dec"/>
        <s v="7-Dec"/>
        <s v="8-Dec"/>
        <s v="9-Dec"/>
        <s v="10-Dec"/>
        <s v="11-Dec"/>
        <s v="12-Dec"/>
        <s v="13-Dec"/>
        <s v="14-Dec"/>
        <s v="15-Dec"/>
        <s v="16-Dec"/>
        <s v="17-Dec"/>
        <s v="18-Dec"/>
        <s v="19-Dec"/>
        <s v="20-Dec"/>
        <s v="21-Dec"/>
        <s v="22-Dec"/>
        <s v="23-Dec"/>
        <s v="24-Dec"/>
        <s v="25-Dec"/>
        <s v="26-Dec"/>
        <s v="27-Dec"/>
        <s v="28-Dec"/>
        <s v="29-Dec"/>
        <s v="30-Dec"/>
        <s v="31-Dec"/>
        <s v="1-Sep" u="1"/>
      </sharedItems>
    </cacheField>
    <cacheField name="[Cala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7268522" backgroundQuery="1" createdVersion="8" refreshedVersion="8" minRefreshableVersion="3" recordCount="0" supportSubquery="1" supportAdvancedDrill="1" xr:uid="{D0BF7956-5FC0-45DE-8537-DE323464AA98}">
  <cacheSource type="external" connectionId="3"/>
  <cacheFields count="4">
    <cacheField name="[Calander_Table].[Date (Day)].[Date (Day)]" caption="Date (Day)" numFmtId="0" hierarchy="2" level="1">
      <sharedItems count="30">
        <s v="1-Dec"/>
        <s v="2-Dec"/>
        <s v="3-Dec"/>
        <s v="4-Dec"/>
        <s v="5-Dec"/>
        <s v="6-Dec"/>
        <s v="8-Dec"/>
        <s v="9-Dec"/>
        <s v="10-Dec"/>
        <s v="11-Dec"/>
        <s v="12-Dec"/>
        <s v="13-Dec"/>
        <s v="14-Dec"/>
        <s v="15-Dec"/>
        <s v="16-Dec"/>
        <s v="17-Dec"/>
        <s v="18-Dec"/>
        <s v="19-Dec"/>
        <s v="20-Dec"/>
        <s v="21-Dec"/>
        <s v="22-Dec"/>
        <s v="23-Dec"/>
        <s v="24-Dec"/>
        <s v="25-Dec"/>
        <s v="26-Dec"/>
        <s v="27-Dec"/>
        <s v="28-Dec"/>
        <s v="29-Dec"/>
        <s v="30-Dec"/>
        <s v="1-Sep" u="1"/>
      </sharedItems>
    </cacheField>
    <cacheField name="[Cala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7731484" backgroundQuery="1" createdVersion="8" refreshedVersion="8" minRefreshableVersion="3" recordCount="0" supportSubquery="1" supportAdvancedDrill="1" xr:uid="{6AB1CAC7-74C2-4222-86CB-D8AA3E189339}">
  <cacheSource type="external" connectionId="3"/>
  <cacheFields count="5">
    <cacheField name="[Calande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 Emergency Room Data].[Patient Admission Flag].[Patient Admission Flag]" caption="Patient Admission Flag" numFmtId="0" hierarchy="12" level="1">
      <sharedItems count="2">
        <s v="Admitted"/>
        <s v="Not Admitted"/>
      </sharedItems>
    </cacheField>
    <cacheField name="[Calander_Table].[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8078707" backgroundQuery="1" createdVersion="8" refreshedVersion="8" minRefreshableVersion="3" recordCount="0" supportSubquery="1" supportAdvancedDrill="1" xr:uid="{06C5999F-CFD7-4CD6-B5C0-E2714386DF9F}">
  <cacheSource type="external" connectionId="3"/>
  <cacheFields count="4">
    <cacheField name="[Calander_Table].[Date (Month)].[Date (Month)]" caption="Date (Month)" numFmtId="0" hierarchy="1" level="1">
      <sharedItems containsSemiMixedTypes="0" containsNonDate="0" containsString="0"/>
    </cacheField>
    <cacheField name="[Measures].[Count of Age Group]" caption="Count of Age Group" numFmtId="0" hierarchy="29" level="32767"/>
    <cacheField name="[Hospital Emergency Room Data].[Age Group].[Age Group]" caption="Age Group" numFmtId="0" hierarchy="15" level="1">
      <sharedItems count="8">
        <s v="0-9"/>
        <s v="10-19"/>
        <s v="20-29"/>
        <s v="30-39"/>
        <s v="40-49"/>
        <s v="50-59"/>
        <s v="60-69"/>
        <s v="70-79"/>
      </sharedItems>
    </cacheField>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8425923" backgroundQuery="1" createdVersion="8" refreshedVersion="8" minRefreshableVersion="3" recordCount="0" supportSubquery="1" supportAdvancedDrill="1" xr:uid="{30DE3C3D-793F-492C-B76F-6E8C9D2CC4E8}">
  <cacheSource type="external" connectionId="3"/>
  <cacheFields count="4">
    <cacheField name="[Cala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0" level="32767"/>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8773146" backgroundQuery="1" createdVersion="8" refreshedVersion="8" minRefreshableVersion="3" recordCount="0" supportSubquery="1" supportAdvancedDrill="1" xr:uid="{486B1BAD-1E8A-48F9-B30E-A06FD979F5DC}">
  <cacheSource type="external" connectionId="3"/>
  <cacheFields count="4">
    <cacheField name="[Cala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ed"/>
        <s v="Ontime"/>
      </sharedItems>
    </cacheField>
    <cacheField name="[Measures].[Count of Patient Id]" caption="Count of Patient Id" numFmtId="0" hierarchy="22" level="32767"/>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9236108" backgroundQuery="1" createdVersion="8" refreshedVersion="8" minRefreshableVersion="3" recordCount="0" supportSubquery="1" supportAdvancedDrill="1" xr:uid="{7E34E7CE-8FDC-48A4-BC7C-2F76C836461B}">
  <cacheSource type="external" connectionId="3"/>
  <cacheFields count="4">
    <cacheField name="[Calander_Table].[Date (Month)].[Date (Month)]" caption="Date (Month)" numFmtId="0" hierarchy="1" level="1">
      <sharedItems containsSemiMixedTypes="0" containsNonDate="0" containsString="0"/>
    </cacheField>
    <cacheField name="[Measures].[Count of Patient Id]" caption="Count of Patient Id" numFmtId="0" hierarchy="22" level="32767"/>
    <cacheField name="[Hospital Emergency Room Data].[Patient Gender].[Patient Gender]" caption="Patient Gender" numFmtId="0" hierarchy="8" level="1">
      <sharedItems count="2">
        <s v="Female"/>
        <s v="Male"/>
      </sharedItems>
    </cacheField>
    <cacheField name="[Calander_Table].[Date (Year)].[Date (Year)]" caption="Date (Year)" numFmtId="0" hierarchy="3" level="1">
      <sharedItems containsSemiMixedTypes="0" containsNonDate="0" containsString="0"/>
    </cacheField>
  </cacheFields>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90789583331" backgroundQuery="1" createdVersion="8" refreshedVersion="8" minRefreshableVersion="3" recordCount="0" supportSubquery="1" supportAdvancedDrill="1" xr:uid="{0495CE20-80AD-4BE4-AED9-2D4D98D6055D}">
  <cacheSource type="external" connectionId="3"/>
  <cacheFields count="3">
    <cacheField name="[Calander_Table].[Date (Month)].[Date (Month)]" caption="Date (Month)" numFmtId="0" hierarchy="1" level="1">
      <sharedItems containsSemiMixedTypes="0" containsNonDate="0" containsString="0"/>
    </cacheField>
    <cacheField name="[Cala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ander_Table].[Date (Year)].[Date (Year)]" caption="Date (Year)" numFmtId="0" hierarchy="3" level="1">
      <sharedItems count="1">
        <s v="2023"/>
      </sharedItems>
    </cacheField>
  </cacheFields>
  <cacheHierarchies count="32">
    <cacheHierarchy uniqueName="[Calander_Table].[Date]" caption="Date" attribute="1" time="1" defaultMemberUniqueName="[Calander_Table].[Date].[All]" allUniqueName="[Calander_Table].[Date].[All]" dimensionUniqueName="[Calander_Table]" displayFolder="" count="2" memberValueDatatype="7" unbalanced="0">
      <fieldsUsage count="2">
        <fieldUsage x="-1"/>
        <fieldUsage x="1"/>
      </fieldsUsage>
    </cacheHierarchy>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ander_Table].[Date (Day Index)]" caption="Date (Day Index)" attribute="1" defaultMemberUniqueName="[Calander_Table].[Date (Day Index)].[All]" allUniqueName="[Calander_Table].[Date (Day Index)].[All]" dimensionUniqueName="[Calander_Table]" displayFolder="" count="2"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Singh" refreshedDate="46200.484041319447" backgroundQuery="1" createdVersion="3" refreshedVersion="8" minRefreshableVersion="3" recordCount="0" supportSubquery="1" supportAdvancedDrill="1" xr:uid="{8FBB53B0-31BF-4A9C-846B-02DFFFE362C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762230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07C0BE-3456-4C99-A621-70610C3109F0}" name="PivotTable12" cacheId="2520" applyNumberFormats="0" applyBorderFormats="0" applyFontFormats="0" applyPatternFormats="0" applyAlignmentFormats="0" applyWidthHeightFormats="1" dataCaption="Values" tag="749358da-8b02-448a-9d2d-e09a90b86b6f" updatedVersion="8" minRefreshableVersion="3" itemPrintTitles="1" createdVersion="8" indent="0" outline="1" outlineData="1" multipleFieldFilters="0" chartFormat="23">
  <location ref="K52:K5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s="1" x="0" e="0"/>
      </items>
    </pivotField>
  </pivotFields>
  <rowFields count="2">
    <field x="2"/>
    <field x="1"/>
  </rowFields>
  <rowItems count="2">
    <i>
      <x/>
    </i>
    <i t="grand">
      <x/>
    </i>
  </rowItems>
  <formats count="2">
    <format dxfId="548">
      <pivotArea dataOnly="0" labelOnly="1" outline="0" axis="axisValues" fieldPosition="0"/>
    </format>
    <format dxfId="549">
      <pivotArea outline="0" collapsedLevelsAreSubtotals="1" fieldPosition="0"/>
    </format>
  </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8C7EF-0A80-4861-8C62-C40761089398}" name="PivotTable11" cacheId="2517" applyNumberFormats="0" applyBorderFormats="0" applyFontFormats="0" applyPatternFormats="0" applyAlignmentFormats="0" applyWidthHeightFormats="1" dataCaption="Values" tag="215eea65-4706-4ee3-b31a-f6fdc610421b" updatedVersion="8" minRefreshableVersion="3" itemPrintTitles="1" createdVersion="8" indent="0" outline="1" outlineData="1" multipleFieldFilters="0" chartFormat="23">
  <location ref="G59:H6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570">
      <pivotArea dataOnly="0" labelOnly="1" outline="0" axis="axisValues" fieldPosition="0"/>
    </format>
    <format dxfId="571">
      <pivotArea outline="0" collapsedLevelsAreSubtotals="1" fieldPosition="0"/>
    </format>
  </formats>
  <chartFormats count="5">
    <chartFormat chart="14"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2" count="1" selected="0">
            <x v="0"/>
          </reference>
        </references>
      </pivotArea>
    </chartFormat>
    <chartFormat chart="22"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C55389-9120-44C4-B946-C633234323FA}" name="PivotTable10" cacheId="2514" applyNumberFormats="0" applyBorderFormats="0" applyFontFormats="0" applyPatternFormats="0" applyAlignmentFormats="0" applyWidthHeightFormats="1" dataCaption="Values" tag="04dafe2d-dd71-4416-8d05-0f074b2452dc" updatedVersion="8" minRefreshableVersion="3" itemPrintTitles="1" createdVersion="8" indent="0" outline="1" outlineData="1" multipleFieldFilters="0" chartFormat="19">
  <location ref="G53:H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2">
    <format dxfId="572">
      <pivotArea dataOnly="0" labelOnly="1" outline="0" axis="axisValues" fieldPosition="0"/>
    </format>
    <format dxfId="573">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DA75F6-05F4-41BB-A58F-D3FF4295F378}" name="PivotTable9" cacheId="2511" applyNumberFormats="0" applyBorderFormats="0" applyFontFormats="0" applyPatternFormats="0" applyAlignmentFormats="0" applyWidthHeightFormats="1" dataCaption="Values" tag="97a60a99-5d79-4472-a188-3ba0e61fc7a5" updatedVersion="8" minRefreshableVersion="3" itemPrintTitles="1" createdVersion="8" indent="0" outline="1" outlineData="1" multipleFieldFilters="0" chartFormat="14">
  <location ref="D54:E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2">
    <format dxfId="574">
      <pivotArea dataOnly="0" labelOnly="1" outline="0" axis="axisValues" fieldPosition="0"/>
    </format>
    <format dxfId="57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7C6345-335C-4F9A-A3D2-76CA4CCB2C0E}" name="PivotTable8" cacheId="2508" applyNumberFormats="0" applyBorderFormats="0" applyFontFormats="0" applyPatternFormats="0" applyAlignmentFormats="0" applyWidthHeightFormats="1" dataCaption="Values" tag="7d6c1c93-a5b1-407c-863d-8e1bb8824a04" updatedVersion="8" minRefreshableVersion="3" itemPrintTitles="1" createdVersion="8" indent="0" outline="1" outlineData="1" multipleFieldFilters="0" chartFormat="10">
  <location ref="A54:B6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2">
    <format dxfId="577">
      <pivotArea dataOnly="0" labelOnly="1" outline="0" axis="axisValues" fieldPosition="0"/>
    </format>
    <format dxfId="576">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47DB7D-D5CB-4980-97A3-DC6BDC0B1B70}" name="PivotTable7" cacheId="2505" applyNumberFormats="0" applyBorderFormats="0" applyFontFormats="0" applyPatternFormats="0" applyAlignmentFormats="0" applyWidthHeightFormats="1" dataCaption="Values" tag="7a7f4b9b-5e2d-4f9e-ae36-649b0d1b764d" updatedVersion="8" minRefreshableVersion="3" itemPrintTitles="1" createdVersion="8" indent="0" outline="1" outlineData="1" multipleFieldFilters="0" chartFormat="5">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581">
      <pivotArea outline="0" collapsedLevelsAreSubtotals="1" fieldPosition="0"/>
    </format>
    <format dxfId="580">
      <pivotArea outline="0" collapsedLevelsAreSubtotals="1" fieldPosition="0">
        <references count="1">
          <reference field="4294967294" count="1" selected="0">
            <x v="1"/>
          </reference>
        </references>
      </pivotArea>
    </format>
    <format dxfId="579">
      <pivotArea dataOnly="0" labelOnly="1" outline="0" fieldPosition="0">
        <references count="1">
          <reference field="4294967294" count="1">
            <x v="1"/>
          </reference>
        </references>
      </pivotArea>
    </format>
    <format dxfId="578">
      <pivotArea outline="0" fieldPosition="0">
        <references count="1">
          <reference field="4294967294" count="1">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E8E146-D4EC-40FE-A6E0-59BEE406417D}" name="PivotTable6" cacheId="2502" applyNumberFormats="0" applyBorderFormats="0" applyFontFormats="0" applyPatternFormats="0" applyAlignmentFormats="0" applyWidthHeightFormats="1" dataCaption="Values" tag="5193124f-f20f-488c-9db9-92538a7167b9" updatedVersion="8" minRefreshableVersion="3" itemPrintTitles="1" createdVersion="8" indent="0" outline="1" outlineData="1" multipleFieldFilters="0" chartFormat="15">
  <location ref="P15:Q4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3">
    <format dxfId="582">
      <pivotArea collapsedLevelsAreSubtotals="1" fieldPosition="0">
        <references count="1">
          <reference field="0" count="1">
            <x v="29"/>
          </reference>
        </references>
      </pivotArea>
    </format>
    <format dxfId="583">
      <pivotArea dataOnly="0" labelOnly="1" outline="0" axis="axisValues" fieldPosition="0"/>
    </format>
    <format dxfId="584">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E3E294-A442-4855-B44B-CE853AF35195}" name="PivotTable5" cacheId="2499" applyNumberFormats="0" applyBorderFormats="0" applyFontFormats="0" applyPatternFormats="0" applyAlignmentFormats="0" applyWidthHeightFormats="1" dataCaption="Values" tag="b0a81afd-e26f-49e4-81d4-1183a6feb125" updatedVersion="8" minRefreshableVersion="3" itemPrintTitles="1" createdVersion="8" indent="0" outline="1" outlineData="1" multipleFieldFilters="0" chartFormat="12">
  <location ref="K5:L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3">
    <format dxfId="587">
      <pivotArea collapsedLevelsAreSubtotals="1" fieldPosition="0">
        <references count="1">
          <reference field="0" count="1">
            <x v="31"/>
          </reference>
        </references>
      </pivotArea>
    </format>
    <format dxfId="586">
      <pivotArea dataOnly="0" labelOnly="1" outline="0" axis="axisValues" fieldPosition="0"/>
    </format>
    <format dxfId="585">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404B61-E9F3-414B-826C-B8442FA6C7F1}" name="PivotTable4" cacheId="2487" applyNumberFormats="0" applyBorderFormats="0" applyFontFormats="0" applyPatternFormats="0" applyAlignmentFormats="0" applyWidthHeightFormats="1" dataCaption="Values" tag="18092140-714e-4ecf-a284-3f0d29765de8" updatedVersion="8" minRefreshableVersion="3" itemPrintTitles="1" createdVersion="8" indent="0" outline="1" outlineData="1" multipleFieldFilters="0" chartFormat="7">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1488CB-EB4A-42F9-8FE0-27F6345DCB7B}" name="PivotTable3" cacheId="2496" applyNumberFormats="0" applyBorderFormats="0" applyFontFormats="0" applyPatternFormats="0" applyAlignmentFormats="0" applyWidthHeightFormats="1" dataCaption="Values" tag="c8f807c8-2af5-453b-84e7-690a0e765a3e" updatedVersion="8" minRefreshableVersion="3"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90">
      <pivotArea outline="0" collapsedLevelsAreSubtotals="1" fieldPosition="0"/>
    </format>
  </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3F7C01-72F4-442E-85FD-96ECFEB53CF9}" name="PivotTable2" cacheId="2493" applyNumberFormats="0" applyBorderFormats="0" applyFontFormats="0" applyPatternFormats="0" applyAlignmentFormats="0" applyWidthHeightFormats="1" dataCaption="Values" tag="7ce205fa-9f67-4fc0-8fb5-2911101c6b53" updatedVersion="8" minRefreshableVersion="3"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91">
      <pivotArea outline="0" collapsedLevelsAreSubtotals="1" fieldPosition="0"/>
    </format>
  </format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19577A-A261-4FBA-8DC9-B539B2252550}" name="PivotTable1" cacheId="2490" applyNumberFormats="0" applyBorderFormats="0" applyFontFormats="0" applyPatternFormats="0" applyAlignmentFormats="0" applyWidthHeightFormats="1" dataCaption="Values" tag="a4d84a73-0199-4174-950a-66b17ef0e9b8" updatedVersion="8" minRefreshableVersion="3"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ander_Table].[Date (Month)].&amp;[Dec]"/>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D5CD3D0-743F-42C4-87CD-74C2465C04EA}" sourceName="[Cala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76223090">
      <levels count="2">
        <level uniqueName="[Calander_Table].[Date (Month)].[(All)]" sourceCaption="(All)" count="0"/>
        <level uniqueName="[Calander_Table].[Date (Month)].[Date (Month)]" sourceCaption="Date (Month)" count="12">
          <ranges>
            <range startItem="0">
              <i n="[Calander_Table].[Date (Month)].&amp;[Apr]" c="Apr"/>
              <i n="[Calander_Table].[Date (Month)].&amp;[May]" c="May"/>
              <i n="[Calander_Table].[Date (Month)].&amp;[Jun]" c="Jun"/>
              <i n="[Calander_Table].[Date (Month)].&amp;[Jul]" c="Jul"/>
              <i n="[Calander_Table].[Date (Month)].&amp;[Aug]" c="Aug"/>
              <i n="[Calander_Table].[Date (Month)].&amp;[Sep]" c="Sep"/>
              <i n="[Calander_Table].[Date (Month)].&amp;[Oct]" c="Oct"/>
              <i n="[Calander_Table].[Date (Month)].&amp;[Nov]" c="Nov"/>
              <i n="[Calander_Table].[Date (Month)].&amp;[Dec]" c="Dec"/>
              <i n="[Calander_Table].[Date (Month)].&amp;[Jan]" c="Jan"/>
              <i n="[Calander_Table].[Date (Month)].&amp;[Feb]" c="Feb"/>
              <i n="[Calander_Table].[Date (Month)].&amp;[Mar]" c="Mar"/>
            </range>
          </ranges>
        </level>
      </levels>
      <selections count="1">
        <selection n="[Calander_Table].[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F3F1638-40F9-4E04-B683-C82C83B0C4BD}" sourceName="[Cala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76223090">
      <levels count="2">
        <level uniqueName="[Calander_Table].[Date (Year)].[(All)]" sourceCaption="(All)" count="0"/>
        <level uniqueName="[Calander_Table].[Date (Year)].[Date (Year)]" sourceCaption="Date (Year)" count="2">
          <ranges>
            <range startItem="0">
              <i n="[Calander_Table].[Date (Year)].&amp;[2023]" c="2023"/>
              <i n="[Calander_Table].[Date (Year)].&amp;[2024]" c="2024"/>
            </range>
          </ranges>
        </level>
      </levels>
      <selections count="1">
        <selection n="[Cala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3BD564B-6B62-465E-9C58-BC6E6308E778}" cache="Slicer_Date__Month" caption="Date (Month)" showCaption="0" level="1" style="My Style" rowHeight="151200"/>
  <slicer name="Date (Year)" xr10:uid="{5703B36E-DF23-4AD0-AF64-4B2DAEF32ABB}"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650A3-C3C6-46EF-9692-344264583D54}">
  <dimension ref="A3:Q63"/>
  <sheetViews>
    <sheetView topLeftCell="C49" workbookViewId="0">
      <selection activeCell="K53" sqref="K53"/>
    </sheetView>
  </sheetViews>
  <sheetFormatPr defaultRowHeight="14.4" x14ac:dyDescent="0.3"/>
  <cols>
    <col min="1" max="1" width="15.6640625" customWidth="1"/>
    <col min="2" max="2" width="13.21875" customWidth="1"/>
    <col min="3" max="3" width="8.6640625" customWidth="1"/>
    <col min="4" max="4" width="14.77734375" customWidth="1"/>
    <col min="5" max="5" width="24.6640625" customWidth="1"/>
    <col min="7" max="7" width="14.6640625" customWidth="1"/>
    <col min="8" max="8" width="18.33203125" customWidth="1"/>
    <col min="11" max="11" width="20.77734375" customWidth="1"/>
    <col min="12" max="12" width="26.6640625" customWidth="1"/>
    <col min="16" max="16" width="18.88671875" customWidth="1"/>
    <col min="17" max="17" width="32.21875" customWidth="1"/>
  </cols>
  <sheetData>
    <row r="3" spans="1:17" x14ac:dyDescent="0.3">
      <c r="A3" t="s">
        <v>2</v>
      </c>
    </row>
    <row r="4" spans="1:17" x14ac:dyDescent="0.3">
      <c r="A4" t="s">
        <v>1</v>
      </c>
    </row>
    <row r="5" spans="1:17" x14ac:dyDescent="0.3">
      <c r="A5" s="1">
        <v>489</v>
      </c>
      <c r="D5" s="2" t="s">
        <v>5</v>
      </c>
      <c r="E5" t="s">
        <v>1</v>
      </c>
      <c r="K5" s="2" t="s">
        <v>5</v>
      </c>
      <c r="L5" s="3" t="s">
        <v>3</v>
      </c>
    </row>
    <row r="6" spans="1:17" x14ac:dyDescent="0.3">
      <c r="D6" s="5" t="s">
        <v>8</v>
      </c>
      <c r="E6" s="1">
        <v>16</v>
      </c>
      <c r="K6" s="5" t="s">
        <v>8</v>
      </c>
      <c r="L6" s="3">
        <v>34.5</v>
      </c>
    </row>
    <row r="7" spans="1:17" x14ac:dyDescent="0.3">
      <c r="D7" s="5" t="s">
        <v>9</v>
      </c>
      <c r="E7" s="1">
        <v>15</v>
      </c>
      <c r="K7" s="5" t="s">
        <v>9</v>
      </c>
      <c r="L7" s="3">
        <v>35.4</v>
      </c>
    </row>
    <row r="8" spans="1:17" x14ac:dyDescent="0.3">
      <c r="A8" t="s">
        <v>3</v>
      </c>
      <c r="D8" s="5" t="s">
        <v>10</v>
      </c>
      <c r="E8" s="1">
        <v>14</v>
      </c>
      <c r="K8" s="5" t="s">
        <v>10</v>
      </c>
      <c r="L8" s="3">
        <v>34.928571428571431</v>
      </c>
    </row>
    <row r="9" spans="1:17" x14ac:dyDescent="0.3">
      <c r="A9" s="3">
        <v>34.764826175869118</v>
      </c>
      <c r="D9" s="5" t="s">
        <v>11</v>
      </c>
      <c r="E9" s="1">
        <v>12</v>
      </c>
      <c r="K9" s="5" t="s">
        <v>11</v>
      </c>
      <c r="L9" s="3">
        <v>44.25</v>
      </c>
    </row>
    <row r="10" spans="1:17" x14ac:dyDescent="0.3">
      <c r="D10" s="5" t="s">
        <v>12</v>
      </c>
      <c r="E10" s="1">
        <v>16</v>
      </c>
      <c r="K10" s="5" t="s">
        <v>12</v>
      </c>
      <c r="L10" s="3">
        <v>40.1875</v>
      </c>
    </row>
    <row r="11" spans="1:17" x14ac:dyDescent="0.3">
      <c r="D11" s="5" t="s">
        <v>13</v>
      </c>
      <c r="E11" s="1">
        <v>11</v>
      </c>
      <c r="K11" s="5" t="s">
        <v>13</v>
      </c>
      <c r="L11" s="3">
        <v>35</v>
      </c>
    </row>
    <row r="12" spans="1:17" x14ac:dyDescent="0.3">
      <c r="D12" s="5" t="s">
        <v>14</v>
      </c>
      <c r="E12" s="1">
        <v>7</v>
      </c>
      <c r="K12" s="5" t="s">
        <v>14</v>
      </c>
      <c r="L12" s="3">
        <v>43.142857142857146</v>
      </c>
    </row>
    <row r="13" spans="1:17" x14ac:dyDescent="0.3">
      <c r="A13" t="s">
        <v>4</v>
      </c>
      <c r="D13" s="5" t="s">
        <v>15</v>
      </c>
      <c r="E13" s="1">
        <v>16</v>
      </c>
      <c r="K13" s="5" t="s">
        <v>15</v>
      </c>
      <c r="L13" s="3">
        <v>43.6875</v>
      </c>
    </row>
    <row r="14" spans="1:17" x14ac:dyDescent="0.3">
      <c r="A14" s="3">
        <v>4.6821705426356592</v>
      </c>
      <c r="D14" s="5" t="s">
        <v>16</v>
      </c>
      <c r="E14" s="1">
        <v>7</v>
      </c>
      <c r="K14" s="5" t="s">
        <v>16</v>
      </c>
      <c r="L14" s="3">
        <v>33.857142857142854</v>
      </c>
    </row>
    <row r="15" spans="1:17" x14ac:dyDescent="0.3">
      <c r="D15" s="5" t="s">
        <v>17</v>
      </c>
      <c r="E15" s="1">
        <v>16</v>
      </c>
      <c r="K15" s="5" t="s">
        <v>17</v>
      </c>
      <c r="L15" s="3">
        <v>40.1875</v>
      </c>
      <c r="P15" s="2" t="s">
        <v>5</v>
      </c>
      <c r="Q15" s="3" t="s">
        <v>4</v>
      </c>
    </row>
    <row r="16" spans="1:17" x14ac:dyDescent="0.3">
      <c r="D16" s="5" t="s">
        <v>18</v>
      </c>
      <c r="E16" s="1">
        <v>16</v>
      </c>
      <c r="K16" s="5" t="s">
        <v>18</v>
      </c>
      <c r="L16" s="3">
        <v>34.9375</v>
      </c>
      <c r="P16" s="5" t="s">
        <v>8</v>
      </c>
      <c r="Q16" s="3">
        <v>9</v>
      </c>
    </row>
    <row r="17" spans="4:17" x14ac:dyDescent="0.3">
      <c r="D17" s="5" t="s">
        <v>19</v>
      </c>
      <c r="E17" s="1">
        <v>19</v>
      </c>
      <c r="K17" s="5" t="s">
        <v>19</v>
      </c>
      <c r="L17" s="3">
        <v>28.684210526315791</v>
      </c>
      <c r="P17" s="5" t="s">
        <v>9</v>
      </c>
      <c r="Q17" s="3">
        <v>4.4000000000000004</v>
      </c>
    </row>
    <row r="18" spans="4:17" x14ac:dyDescent="0.3">
      <c r="D18" s="5" t="s">
        <v>20</v>
      </c>
      <c r="E18" s="1">
        <v>10</v>
      </c>
      <c r="K18" s="5" t="s">
        <v>20</v>
      </c>
      <c r="L18" s="3">
        <v>25</v>
      </c>
      <c r="P18" s="5" t="s">
        <v>10</v>
      </c>
      <c r="Q18" s="3">
        <v>4</v>
      </c>
    </row>
    <row r="19" spans="4:17" x14ac:dyDescent="0.3">
      <c r="D19" s="5" t="s">
        <v>21</v>
      </c>
      <c r="E19" s="1">
        <v>13</v>
      </c>
      <c r="K19" s="5" t="s">
        <v>21</v>
      </c>
      <c r="L19" s="3">
        <v>35.46153846153846</v>
      </c>
      <c r="P19" s="5" t="s">
        <v>11</v>
      </c>
      <c r="Q19" s="3">
        <v>0</v>
      </c>
    </row>
    <row r="20" spans="4:17" x14ac:dyDescent="0.3">
      <c r="D20" s="5" t="s">
        <v>22</v>
      </c>
      <c r="E20" s="1">
        <v>27</v>
      </c>
      <c r="K20" s="5" t="s">
        <v>22</v>
      </c>
      <c r="L20" s="3">
        <v>33.814814814814817</v>
      </c>
      <c r="P20" s="5" t="s">
        <v>12</v>
      </c>
      <c r="Q20" s="3">
        <v>2.875</v>
      </c>
    </row>
    <row r="21" spans="4:17" x14ac:dyDescent="0.3">
      <c r="D21" s="5" t="s">
        <v>23</v>
      </c>
      <c r="E21" s="1">
        <v>19</v>
      </c>
      <c r="K21" s="5" t="s">
        <v>23</v>
      </c>
      <c r="L21" s="3">
        <v>33.631578947368418</v>
      </c>
      <c r="P21" s="5" t="s">
        <v>13</v>
      </c>
      <c r="Q21" s="3">
        <v>5.25</v>
      </c>
    </row>
    <row r="22" spans="4:17" x14ac:dyDescent="0.3">
      <c r="D22" s="5" t="s">
        <v>24</v>
      </c>
      <c r="E22" s="1">
        <v>18</v>
      </c>
      <c r="K22" s="5" t="s">
        <v>24</v>
      </c>
      <c r="L22" s="3">
        <v>36.611111111111114</v>
      </c>
      <c r="P22" s="5" t="s">
        <v>15</v>
      </c>
      <c r="Q22" s="3">
        <v>6</v>
      </c>
    </row>
    <row r="23" spans="4:17" x14ac:dyDescent="0.3">
      <c r="D23" s="5" t="s">
        <v>25</v>
      </c>
      <c r="E23" s="1">
        <v>12</v>
      </c>
      <c r="K23" s="5" t="s">
        <v>25</v>
      </c>
      <c r="L23" s="3">
        <v>30.5</v>
      </c>
      <c r="P23" s="5" t="s">
        <v>16</v>
      </c>
      <c r="Q23" s="3">
        <v>6.5</v>
      </c>
    </row>
    <row r="24" spans="4:17" x14ac:dyDescent="0.3">
      <c r="D24" s="5" t="s">
        <v>26</v>
      </c>
      <c r="E24" s="1">
        <v>20</v>
      </c>
      <c r="K24" s="5" t="s">
        <v>26</v>
      </c>
      <c r="L24" s="3">
        <v>33.6</v>
      </c>
      <c r="P24" s="5" t="s">
        <v>17</v>
      </c>
      <c r="Q24" s="3">
        <v>5.5</v>
      </c>
    </row>
    <row r="25" spans="4:17" x14ac:dyDescent="0.3">
      <c r="D25" s="5" t="s">
        <v>27</v>
      </c>
      <c r="E25" s="1">
        <v>12</v>
      </c>
      <c r="K25" s="5" t="s">
        <v>27</v>
      </c>
      <c r="L25" s="3">
        <v>26.75</v>
      </c>
      <c r="P25" s="5" t="s">
        <v>18</v>
      </c>
      <c r="Q25" s="3">
        <v>5.666666666666667</v>
      </c>
    </row>
    <row r="26" spans="4:17" x14ac:dyDescent="0.3">
      <c r="D26" s="5" t="s">
        <v>28</v>
      </c>
      <c r="E26" s="1">
        <v>19</v>
      </c>
      <c r="K26" s="5" t="s">
        <v>28</v>
      </c>
      <c r="L26" s="3">
        <v>37.684210526315788</v>
      </c>
      <c r="P26" s="5" t="s">
        <v>19</v>
      </c>
      <c r="Q26" s="3">
        <v>5.25</v>
      </c>
    </row>
    <row r="27" spans="4:17" x14ac:dyDescent="0.3">
      <c r="D27" s="5" t="s">
        <v>29</v>
      </c>
      <c r="E27" s="1">
        <v>18</v>
      </c>
      <c r="K27" s="5" t="s">
        <v>29</v>
      </c>
      <c r="L27" s="3">
        <v>36.611111111111114</v>
      </c>
      <c r="P27" s="5" t="s">
        <v>20</v>
      </c>
      <c r="Q27" s="3">
        <v>7.25</v>
      </c>
    </row>
    <row r="28" spans="4:17" x14ac:dyDescent="0.3">
      <c r="D28" s="5" t="s">
        <v>30</v>
      </c>
      <c r="E28" s="1">
        <v>21</v>
      </c>
      <c r="K28" s="5" t="s">
        <v>30</v>
      </c>
      <c r="L28" s="3">
        <v>35.428571428571431</v>
      </c>
      <c r="P28" s="5" t="s">
        <v>21</v>
      </c>
      <c r="Q28" s="3">
        <v>6</v>
      </c>
    </row>
    <row r="29" spans="4:17" x14ac:dyDescent="0.3">
      <c r="D29" s="5" t="s">
        <v>31</v>
      </c>
      <c r="E29" s="1">
        <v>18</v>
      </c>
      <c r="K29" s="5" t="s">
        <v>31</v>
      </c>
      <c r="L29" s="3">
        <v>31.944444444444443</v>
      </c>
      <c r="P29" s="5" t="s">
        <v>22</v>
      </c>
      <c r="Q29" s="3">
        <v>4.5999999999999996</v>
      </c>
    </row>
    <row r="30" spans="4:17" x14ac:dyDescent="0.3">
      <c r="D30" s="5" t="s">
        <v>32</v>
      </c>
      <c r="E30" s="1">
        <v>16</v>
      </c>
      <c r="K30" s="5" t="s">
        <v>32</v>
      </c>
      <c r="L30" s="3">
        <v>31.875</v>
      </c>
      <c r="P30" s="5" t="s">
        <v>23</v>
      </c>
      <c r="Q30" s="3">
        <v>8</v>
      </c>
    </row>
    <row r="31" spans="4:17" x14ac:dyDescent="0.3">
      <c r="D31" s="5" t="s">
        <v>33</v>
      </c>
      <c r="E31" s="1">
        <v>14</v>
      </c>
      <c r="K31" s="5" t="s">
        <v>33</v>
      </c>
      <c r="L31" s="3">
        <v>28.642857142857142</v>
      </c>
      <c r="P31" s="5" t="s">
        <v>24</v>
      </c>
      <c r="Q31" s="3">
        <v>3.6666666666666665</v>
      </c>
    </row>
    <row r="32" spans="4:17" x14ac:dyDescent="0.3">
      <c r="D32" s="5" t="s">
        <v>34</v>
      </c>
      <c r="E32" s="1">
        <v>14</v>
      </c>
      <c r="K32" s="5" t="s">
        <v>34</v>
      </c>
      <c r="L32" s="3">
        <v>39.214285714285715</v>
      </c>
      <c r="P32" s="5" t="s">
        <v>25</v>
      </c>
      <c r="Q32" s="3">
        <v>2.4285714285714284</v>
      </c>
    </row>
    <row r="33" spans="1:17" x14ac:dyDescent="0.3">
      <c r="D33" s="5" t="s">
        <v>35</v>
      </c>
      <c r="E33" s="1">
        <v>16</v>
      </c>
      <c r="K33" s="5" t="s">
        <v>35</v>
      </c>
      <c r="L33" s="3">
        <v>32.0625</v>
      </c>
      <c r="P33" s="5" t="s">
        <v>26</v>
      </c>
      <c r="Q33" s="3">
        <v>9</v>
      </c>
    </row>
    <row r="34" spans="1:17" x14ac:dyDescent="0.3">
      <c r="D34" s="5" t="s">
        <v>36</v>
      </c>
      <c r="E34" s="1">
        <v>21</v>
      </c>
      <c r="K34" s="5" t="s">
        <v>36</v>
      </c>
      <c r="L34" s="3">
        <v>28.285714285714285</v>
      </c>
      <c r="P34" s="5" t="s">
        <v>27</v>
      </c>
      <c r="Q34" s="3">
        <v>6</v>
      </c>
    </row>
    <row r="35" spans="1:17" x14ac:dyDescent="0.3">
      <c r="D35" s="5" t="s">
        <v>37</v>
      </c>
      <c r="E35" s="1">
        <v>21</v>
      </c>
      <c r="K35" s="5" t="s">
        <v>37</v>
      </c>
      <c r="L35" s="3">
        <v>35.476190476190474</v>
      </c>
      <c r="P35" s="5" t="s">
        <v>28</v>
      </c>
      <c r="Q35" s="3">
        <v>4</v>
      </c>
    </row>
    <row r="36" spans="1:17" x14ac:dyDescent="0.3">
      <c r="D36" s="5" t="s">
        <v>38</v>
      </c>
      <c r="E36" s="1">
        <v>15</v>
      </c>
      <c r="K36" s="5" t="s">
        <v>38</v>
      </c>
      <c r="L36" s="3">
        <v>39.799999999999997</v>
      </c>
      <c r="P36" s="5" t="s">
        <v>29</v>
      </c>
      <c r="Q36" s="3">
        <v>4.833333333333333</v>
      </c>
    </row>
    <row r="37" spans="1:17" x14ac:dyDescent="0.3">
      <c r="D37" s="5" t="s">
        <v>6</v>
      </c>
      <c r="E37" s="1">
        <v>489</v>
      </c>
      <c r="K37" s="5" t="s">
        <v>6</v>
      </c>
      <c r="L37" s="3">
        <v>34.764826175869118</v>
      </c>
      <c r="P37" s="5" t="s">
        <v>30</v>
      </c>
      <c r="Q37" s="3">
        <v>3.6</v>
      </c>
    </row>
    <row r="38" spans="1:17" x14ac:dyDescent="0.3">
      <c r="P38" s="5" t="s">
        <v>31</v>
      </c>
      <c r="Q38" s="3">
        <v>5</v>
      </c>
    </row>
    <row r="39" spans="1:17" x14ac:dyDescent="0.3">
      <c r="P39" s="5" t="s">
        <v>32</v>
      </c>
      <c r="Q39" s="3">
        <v>5.25</v>
      </c>
    </row>
    <row r="40" spans="1:17" x14ac:dyDescent="0.3">
      <c r="P40" s="5" t="s">
        <v>33</v>
      </c>
      <c r="Q40" s="3">
        <v>3.2</v>
      </c>
    </row>
    <row r="41" spans="1:17" x14ac:dyDescent="0.3">
      <c r="A41" s="2" t="s">
        <v>5</v>
      </c>
      <c r="B41" t="s">
        <v>58</v>
      </c>
      <c r="C41" s="3" t="s">
        <v>59</v>
      </c>
      <c r="P41" s="5" t="s">
        <v>34</v>
      </c>
      <c r="Q41" s="3">
        <v>5.5</v>
      </c>
    </row>
    <row r="42" spans="1:17" x14ac:dyDescent="0.3">
      <c r="A42" s="5" t="s">
        <v>41</v>
      </c>
      <c r="B42" s="3">
        <v>250</v>
      </c>
      <c r="C42" s="7">
        <v>0.5112474437627812</v>
      </c>
      <c r="P42" s="5" t="s">
        <v>35</v>
      </c>
      <c r="Q42" s="3">
        <v>3</v>
      </c>
    </row>
    <row r="43" spans="1:17" x14ac:dyDescent="0.3">
      <c r="A43" s="5" t="s">
        <v>48</v>
      </c>
      <c r="B43" s="3">
        <v>239</v>
      </c>
      <c r="C43" s="7">
        <v>0.4887525562372188</v>
      </c>
      <c r="P43" s="5" t="s">
        <v>36</v>
      </c>
      <c r="Q43" s="3">
        <v>3.9090909090909092</v>
      </c>
    </row>
    <row r="44" spans="1:17" x14ac:dyDescent="0.3">
      <c r="A44" s="5" t="s">
        <v>6</v>
      </c>
      <c r="B44" s="3">
        <v>489</v>
      </c>
      <c r="C44" s="7">
        <v>1</v>
      </c>
      <c r="P44" s="5" t="s">
        <v>37</v>
      </c>
      <c r="Q44" s="3">
        <v>2.6666666666666665</v>
      </c>
    </row>
    <row r="45" spans="1:17" x14ac:dyDescent="0.3">
      <c r="P45" s="5" t="s">
        <v>6</v>
      </c>
      <c r="Q45" s="3">
        <v>4.6821705426356592</v>
      </c>
    </row>
    <row r="48" spans="1:17" x14ac:dyDescent="0.3">
      <c r="A48" s="11" t="s">
        <v>60</v>
      </c>
      <c r="B48" s="11" t="s">
        <v>62</v>
      </c>
      <c r="C48" s="12" t="s">
        <v>61</v>
      </c>
      <c r="D48" s="8"/>
    </row>
    <row r="49" spans="1:11" x14ac:dyDescent="0.3">
      <c r="A49" s="13" t="str">
        <f>A43</f>
        <v>Not Admitted</v>
      </c>
      <c r="B49" s="13">
        <f>B43</f>
        <v>239</v>
      </c>
      <c r="C49" s="14">
        <f>C43</f>
        <v>0.4887525562372188</v>
      </c>
      <c r="D49" s="9"/>
    </row>
    <row r="50" spans="1:11" x14ac:dyDescent="0.3">
      <c r="A50" s="13" t="str">
        <f>A42</f>
        <v>Admitted</v>
      </c>
      <c r="B50" s="13">
        <f>B42</f>
        <v>250</v>
      </c>
      <c r="C50" s="14">
        <f>C42</f>
        <v>0.5112474437627812</v>
      </c>
      <c r="D50" s="9"/>
    </row>
    <row r="51" spans="1:11" x14ac:dyDescent="0.3">
      <c r="A51" s="10"/>
      <c r="B51" s="10"/>
      <c r="C51" s="10"/>
    </row>
    <row r="52" spans="1:11" x14ac:dyDescent="0.3">
      <c r="K52" s="2" t="s">
        <v>5</v>
      </c>
    </row>
    <row r="53" spans="1:11" x14ac:dyDescent="0.3">
      <c r="G53" s="2" t="s">
        <v>5</v>
      </c>
      <c r="H53" s="3" t="s">
        <v>0</v>
      </c>
      <c r="K53" s="5" t="s">
        <v>7</v>
      </c>
    </row>
    <row r="54" spans="1:11" x14ac:dyDescent="0.3">
      <c r="A54" s="2" t="s">
        <v>5</v>
      </c>
      <c r="B54" s="3" t="s">
        <v>63</v>
      </c>
      <c r="D54" s="2" t="s">
        <v>5</v>
      </c>
      <c r="E54" s="3" t="s">
        <v>67</v>
      </c>
      <c r="G54" s="5" t="s">
        <v>47</v>
      </c>
      <c r="H54" s="15">
        <v>286</v>
      </c>
      <c r="K54" s="5" t="s">
        <v>6</v>
      </c>
    </row>
    <row r="55" spans="1:11" x14ac:dyDescent="0.3">
      <c r="A55" s="5" t="s">
        <v>49</v>
      </c>
      <c r="B55" s="15">
        <v>49</v>
      </c>
      <c r="D55" s="5" t="s">
        <v>56</v>
      </c>
      <c r="E55" s="15">
        <v>18</v>
      </c>
      <c r="G55" s="5" t="s">
        <v>43</v>
      </c>
      <c r="H55" s="15">
        <v>203</v>
      </c>
    </row>
    <row r="56" spans="1:11" x14ac:dyDescent="0.3">
      <c r="A56" s="5" t="s">
        <v>44</v>
      </c>
      <c r="B56" s="15">
        <v>56</v>
      </c>
      <c r="D56" s="5" t="s">
        <v>64</v>
      </c>
      <c r="E56" s="15">
        <v>8</v>
      </c>
      <c r="G56" s="5" t="s">
        <v>6</v>
      </c>
      <c r="H56" s="15">
        <v>489</v>
      </c>
    </row>
    <row r="57" spans="1:11" x14ac:dyDescent="0.3">
      <c r="A57" s="5" t="s">
        <v>54</v>
      </c>
      <c r="B57" s="15">
        <v>71</v>
      </c>
      <c r="D57" s="5" t="s">
        <v>53</v>
      </c>
      <c r="E57" s="15">
        <v>110</v>
      </c>
    </row>
    <row r="58" spans="1:11" x14ac:dyDescent="0.3">
      <c r="A58" s="5" t="s">
        <v>51</v>
      </c>
      <c r="B58" s="15">
        <v>72</v>
      </c>
      <c r="D58" s="5" t="s">
        <v>57</v>
      </c>
      <c r="E58" s="15">
        <v>11</v>
      </c>
    </row>
    <row r="59" spans="1:11" x14ac:dyDescent="0.3">
      <c r="A59" s="5" t="s">
        <v>50</v>
      </c>
      <c r="B59" s="15">
        <v>64</v>
      </c>
      <c r="D59" s="5" t="s">
        <v>40</v>
      </c>
      <c r="E59" s="15">
        <v>278</v>
      </c>
      <c r="G59" s="2" t="s">
        <v>5</v>
      </c>
      <c r="H59" s="3" t="s">
        <v>0</v>
      </c>
    </row>
    <row r="60" spans="1:11" x14ac:dyDescent="0.3">
      <c r="A60" s="5" t="s">
        <v>42</v>
      </c>
      <c r="B60" s="15">
        <v>60</v>
      </c>
      <c r="D60" s="5" t="s">
        <v>55</v>
      </c>
      <c r="E60" s="15">
        <v>44</v>
      </c>
      <c r="G60" s="5" t="s">
        <v>45</v>
      </c>
      <c r="H60" s="15">
        <v>240</v>
      </c>
    </row>
    <row r="61" spans="1:11" x14ac:dyDescent="0.3">
      <c r="A61" s="5" t="s">
        <v>46</v>
      </c>
      <c r="B61" s="15">
        <v>64</v>
      </c>
      <c r="D61" s="5" t="s">
        <v>65</v>
      </c>
      <c r="E61" s="15">
        <v>12</v>
      </c>
      <c r="G61" s="5" t="s">
        <v>39</v>
      </c>
      <c r="H61" s="15">
        <v>249</v>
      </c>
    </row>
    <row r="62" spans="1:11" x14ac:dyDescent="0.3">
      <c r="A62" s="5" t="s">
        <v>52</v>
      </c>
      <c r="B62" s="15">
        <v>53</v>
      </c>
      <c r="D62" s="5" t="s">
        <v>66</v>
      </c>
      <c r="E62" s="15">
        <v>8</v>
      </c>
      <c r="G62" s="5" t="s">
        <v>6</v>
      </c>
      <c r="H62" s="15">
        <v>489</v>
      </c>
    </row>
    <row r="63" spans="1:11" x14ac:dyDescent="0.3">
      <c r="A63" s="5" t="s">
        <v>6</v>
      </c>
      <c r="B63" s="15">
        <v>489</v>
      </c>
      <c r="D63" s="5" t="s">
        <v>6</v>
      </c>
      <c r="E63" s="15">
        <v>489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B01D-E07C-4A3A-8B13-D7DF0686331C}">
  <dimension ref="A1:T30"/>
  <sheetViews>
    <sheetView tabSelected="1" zoomScale="146" zoomScaleNormal="146" workbookViewId="0">
      <selection activeCell="N9" sqref="N9"/>
    </sheetView>
  </sheetViews>
  <sheetFormatPr defaultRowHeight="14.4" x14ac:dyDescent="0.3"/>
  <cols>
    <col min="7" max="7" width="9.109375" customWidth="1"/>
  </cols>
  <sheetData>
    <row r="1" spans="1:20" x14ac:dyDescent="0.3">
      <c r="A1" s="4"/>
      <c r="B1" s="4"/>
      <c r="C1" s="4"/>
      <c r="D1" s="4"/>
      <c r="E1" s="4"/>
      <c r="F1" s="4"/>
      <c r="G1" s="4"/>
      <c r="H1" s="4"/>
      <c r="I1" s="4"/>
      <c r="J1" s="4"/>
      <c r="K1" s="4"/>
      <c r="L1" s="4"/>
      <c r="M1" s="4"/>
      <c r="N1" s="4"/>
      <c r="O1" s="4"/>
      <c r="P1" s="4"/>
      <c r="Q1" s="4"/>
      <c r="R1" s="4"/>
      <c r="S1" s="4"/>
      <c r="T1" s="4"/>
    </row>
    <row r="2" spans="1:20" x14ac:dyDescent="0.3">
      <c r="A2" s="4"/>
      <c r="B2" s="4"/>
      <c r="C2" s="4"/>
      <c r="D2" s="4"/>
      <c r="E2" s="4"/>
      <c r="F2" s="4"/>
      <c r="G2" s="4"/>
      <c r="H2" s="4"/>
      <c r="I2" s="4"/>
      <c r="J2" s="4"/>
      <c r="K2" s="4"/>
      <c r="L2" s="4"/>
      <c r="M2" s="4"/>
      <c r="N2" s="4"/>
      <c r="O2" s="4"/>
      <c r="P2" s="4"/>
      <c r="Q2" s="4"/>
      <c r="R2" s="4"/>
      <c r="S2" s="4"/>
      <c r="T2" s="4"/>
    </row>
    <row r="3" spans="1:20" x14ac:dyDescent="0.3">
      <c r="A3" s="4"/>
      <c r="B3" s="4"/>
      <c r="C3" s="4"/>
      <c r="D3" s="4"/>
      <c r="E3" s="4"/>
      <c r="F3" s="4"/>
      <c r="G3" s="4"/>
      <c r="H3" s="4"/>
      <c r="I3" s="4"/>
      <c r="J3" s="4"/>
      <c r="K3" s="4"/>
      <c r="L3" s="4"/>
      <c r="M3" s="4"/>
      <c r="N3" s="4"/>
      <c r="O3" s="4"/>
      <c r="P3" s="4"/>
      <c r="Q3" s="4"/>
      <c r="R3" s="4"/>
      <c r="S3" s="4"/>
      <c r="T3" s="4"/>
    </row>
    <row r="4" spans="1:20" x14ac:dyDescent="0.3">
      <c r="A4" s="4"/>
      <c r="B4" s="4"/>
      <c r="C4" s="4"/>
      <c r="D4" s="4"/>
      <c r="E4" s="4"/>
      <c r="F4" s="4"/>
      <c r="G4" s="4"/>
      <c r="H4" s="4"/>
      <c r="I4" s="4"/>
      <c r="J4" s="4"/>
      <c r="K4" s="4"/>
      <c r="L4" s="4"/>
      <c r="M4" s="4"/>
      <c r="N4" s="4"/>
      <c r="O4" s="4"/>
      <c r="P4" s="4"/>
      <c r="Q4" s="4"/>
      <c r="R4" s="4"/>
      <c r="S4" s="4"/>
      <c r="T4" s="4"/>
    </row>
    <row r="5" spans="1:20" x14ac:dyDescent="0.3">
      <c r="A5" s="4"/>
      <c r="B5" s="4"/>
      <c r="C5" s="4"/>
      <c r="D5" s="4"/>
      <c r="E5" s="4"/>
      <c r="F5" s="4"/>
      <c r="G5" s="4"/>
      <c r="H5" s="4"/>
      <c r="I5" s="4"/>
      <c r="J5" s="4"/>
      <c r="K5" s="4"/>
      <c r="L5" s="4"/>
      <c r="M5" s="4"/>
      <c r="N5" s="4"/>
      <c r="O5" s="4"/>
      <c r="P5" s="4"/>
      <c r="Q5" s="4"/>
      <c r="R5" s="4"/>
      <c r="S5" s="4"/>
      <c r="T5" s="4"/>
    </row>
    <row r="6" spans="1:20" x14ac:dyDescent="0.3">
      <c r="A6" s="4"/>
      <c r="B6" s="4"/>
      <c r="C6" s="4"/>
      <c r="D6" s="4"/>
      <c r="E6" s="4"/>
      <c r="F6" s="4"/>
      <c r="G6" s="4"/>
      <c r="H6" s="4"/>
      <c r="I6" s="4"/>
      <c r="J6" s="4"/>
      <c r="K6" s="4"/>
      <c r="L6" s="4"/>
      <c r="M6" s="4"/>
      <c r="N6" s="4"/>
      <c r="O6" s="4"/>
      <c r="P6" s="4"/>
      <c r="Q6" s="4"/>
      <c r="R6" s="4"/>
      <c r="S6" s="4"/>
      <c r="T6" s="4"/>
    </row>
    <row r="7" spans="1:20" x14ac:dyDescent="0.3">
      <c r="A7" s="4"/>
      <c r="B7" s="4"/>
      <c r="C7" s="4"/>
      <c r="D7" s="4"/>
      <c r="E7" s="4"/>
      <c r="F7" s="4"/>
      <c r="G7" s="4"/>
      <c r="H7" s="4"/>
      <c r="I7" s="4"/>
      <c r="J7" s="4"/>
      <c r="K7" s="4"/>
      <c r="L7" s="4"/>
      <c r="M7" s="4"/>
      <c r="N7" s="4"/>
      <c r="O7" s="4"/>
      <c r="P7" s="4"/>
      <c r="Q7" s="4"/>
      <c r="R7" s="4"/>
      <c r="S7" s="4"/>
      <c r="T7" s="4"/>
    </row>
    <row r="8" spans="1:20" x14ac:dyDescent="0.3">
      <c r="A8" s="4"/>
      <c r="B8" s="4"/>
      <c r="C8" s="4"/>
      <c r="D8" s="4"/>
      <c r="E8" s="4"/>
      <c r="F8" s="4"/>
      <c r="G8" s="4"/>
      <c r="H8" s="4"/>
      <c r="I8" s="4"/>
      <c r="J8" s="4"/>
      <c r="K8" s="4"/>
      <c r="L8" s="4"/>
      <c r="M8" s="4"/>
      <c r="N8" s="4"/>
      <c r="O8" s="4"/>
      <c r="P8" s="4"/>
      <c r="Q8" s="4"/>
      <c r="R8" s="4"/>
      <c r="S8" s="4"/>
      <c r="T8" s="4"/>
    </row>
    <row r="9" spans="1:20" x14ac:dyDescent="0.3">
      <c r="A9" s="4"/>
      <c r="B9" s="4"/>
      <c r="C9" s="4"/>
      <c r="D9" s="4"/>
      <c r="E9" s="4"/>
      <c r="F9" s="4"/>
      <c r="G9" s="4"/>
      <c r="H9" s="4"/>
      <c r="I9" s="4"/>
      <c r="J9" s="4"/>
      <c r="K9" s="4"/>
      <c r="L9" s="4"/>
      <c r="M9" s="4"/>
      <c r="N9" s="4"/>
      <c r="O9" s="4"/>
      <c r="P9" s="4"/>
      <c r="Q9" s="4"/>
      <c r="R9" s="4"/>
      <c r="S9" s="4"/>
      <c r="T9" s="4"/>
    </row>
    <row r="10" spans="1:20" x14ac:dyDescent="0.3">
      <c r="A10" s="4"/>
      <c r="B10" s="4"/>
      <c r="C10" s="4"/>
      <c r="D10" s="4"/>
      <c r="E10" s="4"/>
      <c r="F10" s="4"/>
      <c r="G10" s="4"/>
      <c r="H10" s="4"/>
      <c r="I10" s="4"/>
      <c r="J10" s="4"/>
      <c r="K10" s="4"/>
      <c r="L10" s="4"/>
      <c r="M10" s="4"/>
      <c r="N10" s="4"/>
      <c r="O10" s="4"/>
      <c r="P10" s="4"/>
      <c r="Q10" s="4"/>
      <c r="R10" s="4"/>
      <c r="S10" s="4"/>
      <c r="T10" s="4"/>
    </row>
    <row r="11" spans="1:20" x14ac:dyDescent="0.3">
      <c r="A11" s="4"/>
      <c r="B11" s="4"/>
      <c r="C11" s="4"/>
      <c r="D11" s="4"/>
      <c r="E11" s="4"/>
      <c r="F11" s="4"/>
      <c r="G11" s="4"/>
      <c r="H11" s="4"/>
      <c r="I11" s="4"/>
      <c r="J11" s="4"/>
      <c r="K11" s="4"/>
      <c r="L11" s="4"/>
      <c r="M11" s="4"/>
      <c r="N11" s="4"/>
      <c r="O11" s="4"/>
      <c r="P11" s="4"/>
      <c r="Q11" s="4"/>
      <c r="R11" s="4"/>
      <c r="S11" s="4"/>
      <c r="T11" s="4"/>
    </row>
    <row r="12" spans="1:20" x14ac:dyDescent="0.3">
      <c r="A12" s="4"/>
      <c r="B12" s="4"/>
      <c r="C12" s="4"/>
      <c r="D12" s="4"/>
      <c r="E12" s="4"/>
      <c r="F12" s="4"/>
      <c r="G12" s="4"/>
      <c r="H12" s="4"/>
      <c r="I12" s="4"/>
      <c r="J12" s="4"/>
      <c r="K12" s="4"/>
      <c r="L12" s="4"/>
      <c r="M12" s="4"/>
      <c r="N12" s="4"/>
      <c r="O12" s="4"/>
      <c r="P12" s="4"/>
      <c r="Q12" s="4"/>
      <c r="R12" s="4"/>
      <c r="S12" s="4"/>
      <c r="T12" s="4"/>
    </row>
    <row r="13" spans="1:20" x14ac:dyDescent="0.3">
      <c r="A13" s="4"/>
      <c r="B13" s="4"/>
      <c r="C13" s="4"/>
      <c r="D13" s="4"/>
      <c r="E13" s="4"/>
      <c r="F13" s="4"/>
      <c r="G13" s="4"/>
      <c r="H13" s="4"/>
      <c r="I13" s="4"/>
      <c r="J13" s="4"/>
      <c r="K13" s="4"/>
      <c r="L13" s="4"/>
      <c r="M13" s="4"/>
      <c r="N13" s="4"/>
      <c r="O13" s="4"/>
      <c r="P13" s="4"/>
      <c r="Q13" s="4"/>
      <c r="R13" s="4"/>
      <c r="S13" s="4"/>
      <c r="T13" s="4"/>
    </row>
    <row r="14" spans="1:20" x14ac:dyDescent="0.3">
      <c r="A14" s="4"/>
      <c r="B14" s="4"/>
      <c r="C14" s="4"/>
      <c r="D14" s="4"/>
      <c r="E14" s="4"/>
      <c r="F14" s="4"/>
      <c r="G14" s="4"/>
      <c r="H14" s="4"/>
      <c r="I14" s="4"/>
      <c r="J14" s="4"/>
      <c r="K14" s="4"/>
      <c r="L14" s="4"/>
      <c r="M14" s="4"/>
      <c r="N14" s="4"/>
      <c r="O14" s="4"/>
      <c r="P14" s="4"/>
      <c r="Q14" s="4"/>
      <c r="R14" s="4"/>
      <c r="S14" s="4"/>
      <c r="T14" s="4"/>
    </row>
    <row r="15" spans="1:20" x14ac:dyDescent="0.3">
      <c r="A15" s="4"/>
      <c r="B15" s="4"/>
      <c r="C15" s="4"/>
      <c r="D15" s="4"/>
      <c r="E15" s="4"/>
      <c r="F15" s="4"/>
      <c r="G15" s="4"/>
      <c r="H15" s="4"/>
      <c r="I15" s="4"/>
      <c r="J15" s="4"/>
      <c r="K15" s="4"/>
      <c r="L15" s="4"/>
      <c r="M15" s="4"/>
      <c r="N15" s="4"/>
      <c r="O15" s="4"/>
      <c r="P15" s="4"/>
      <c r="Q15" s="4"/>
      <c r="R15" s="4"/>
      <c r="S15" s="4"/>
      <c r="T15" s="4"/>
    </row>
    <row r="16" spans="1:20" x14ac:dyDescent="0.3">
      <c r="A16" s="4"/>
      <c r="B16" s="4"/>
      <c r="C16" s="4"/>
      <c r="D16" s="4"/>
      <c r="E16" s="4"/>
      <c r="F16" s="4"/>
      <c r="G16" s="4"/>
      <c r="H16" s="4"/>
      <c r="I16" s="4"/>
      <c r="J16" s="4"/>
      <c r="K16" s="4"/>
      <c r="L16" s="4"/>
      <c r="M16" s="4"/>
      <c r="N16" s="4"/>
      <c r="O16" s="4"/>
      <c r="P16" s="4"/>
      <c r="Q16" s="4"/>
      <c r="R16" s="4"/>
      <c r="S16" s="4"/>
      <c r="T16" s="4"/>
    </row>
    <row r="17" spans="1:20" x14ac:dyDescent="0.3">
      <c r="A17" s="4"/>
      <c r="B17" s="4"/>
      <c r="C17" s="4"/>
      <c r="D17" s="4"/>
      <c r="E17" s="4"/>
      <c r="F17" s="4"/>
      <c r="G17" s="4"/>
      <c r="H17" s="4"/>
      <c r="I17" s="4"/>
      <c r="J17" s="4"/>
      <c r="K17" s="4"/>
      <c r="L17" s="4"/>
      <c r="M17" s="4"/>
      <c r="N17" s="4"/>
      <c r="O17" s="4"/>
      <c r="P17" s="4"/>
      <c r="Q17" s="4"/>
      <c r="R17" s="4"/>
      <c r="S17" s="4"/>
      <c r="T17" s="4"/>
    </row>
    <row r="18" spans="1:20" x14ac:dyDescent="0.3">
      <c r="A18" s="4"/>
      <c r="B18" s="4"/>
      <c r="C18" s="4"/>
      <c r="D18" s="4"/>
      <c r="E18" s="4"/>
      <c r="F18" s="4"/>
      <c r="G18" s="4"/>
      <c r="H18" s="4"/>
      <c r="I18" s="4"/>
      <c r="J18" s="4"/>
      <c r="K18" s="4"/>
      <c r="L18" s="4"/>
      <c r="M18" s="4"/>
      <c r="N18" s="4"/>
      <c r="O18" s="4"/>
      <c r="P18" s="4"/>
      <c r="Q18" s="4"/>
      <c r="R18" s="4"/>
      <c r="S18" s="4"/>
      <c r="T18" s="4"/>
    </row>
    <row r="19" spans="1:20" x14ac:dyDescent="0.3">
      <c r="A19" s="4"/>
      <c r="B19" s="4"/>
      <c r="C19" s="4"/>
      <c r="D19" s="4"/>
      <c r="E19" s="4"/>
      <c r="F19" s="4"/>
      <c r="G19" s="4"/>
      <c r="H19" s="4"/>
      <c r="I19" s="4"/>
      <c r="J19" s="4"/>
      <c r="K19" s="4"/>
      <c r="L19" s="4"/>
      <c r="M19" s="4"/>
      <c r="N19" s="4"/>
      <c r="O19" s="4"/>
      <c r="P19" s="4"/>
      <c r="Q19" s="4"/>
      <c r="R19" s="4"/>
      <c r="S19" s="4"/>
      <c r="T19" s="4"/>
    </row>
    <row r="20" spans="1:20" x14ac:dyDescent="0.3">
      <c r="A20" s="4"/>
      <c r="B20" s="4"/>
      <c r="C20" s="4"/>
      <c r="D20" s="4"/>
      <c r="E20" s="4"/>
      <c r="F20" s="4"/>
      <c r="G20" s="4"/>
      <c r="H20" s="4"/>
      <c r="I20" s="4"/>
      <c r="J20" s="4"/>
      <c r="K20" s="4"/>
      <c r="L20" s="4"/>
      <c r="M20" s="4"/>
      <c r="N20" s="4"/>
      <c r="O20" s="4"/>
      <c r="P20" s="4"/>
      <c r="Q20" s="4"/>
      <c r="R20" s="4"/>
      <c r="S20" s="4"/>
      <c r="T20" s="4"/>
    </row>
    <row r="21" spans="1:20" x14ac:dyDescent="0.3">
      <c r="A21" s="4"/>
      <c r="B21" s="4"/>
      <c r="C21" s="4"/>
      <c r="D21" s="4"/>
      <c r="E21" s="4"/>
      <c r="F21" s="4"/>
      <c r="G21" s="4"/>
      <c r="H21" s="4"/>
      <c r="I21" s="4"/>
      <c r="J21" s="4"/>
      <c r="K21" s="4"/>
      <c r="L21" s="4"/>
      <c r="M21" s="4"/>
      <c r="N21" s="4"/>
      <c r="O21" s="4"/>
      <c r="P21" s="4"/>
      <c r="Q21" s="4"/>
      <c r="R21" s="4"/>
      <c r="S21" s="4"/>
      <c r="T21" s="4"/>
    </row>
    <row r="22" spans="1:20" x14ac:dyDescent="0.3">
      <c r="A22" s="4"/>
      <c r="B22" s="4"/>
      <c r="C22" s="4"/>
      <c r="D22" s="4"/>
      <c r="E22" s="4"/>
      <c r="F22" s="4"/>
      <c r="G22" s="4"/>
      <c r="H22" s="4"/>
      <c r="I22" s="4"/>
      <c r="J22" s="4"/>
      <c r="K22" s="4"/>
      <c r="L22" s="4"/>
      <c r="M22" s="4"/>
      <c r="N22" s="4"/>
      <c r="O22" s="4"/>
      <c r="P22" s="4"/>
      <c r="Q22" s="4"/>
      <c r="R22" s="4"/>
      <c r="S22" s="4"/>
      <c r="T22" s="4"/>
    </row>
    <row r="23" spans="1:20" x14ac:dyDescent="0.3">
      <c r="A23" s="4"/>
      <c r="B23" s="4"/>
      <c r="C23" s="4"/>
      <c r="D23" s="4"/>
      <c r="E23" s="4"/>
      <c r="F23" s="4"/>
      <c r="G23" s="4"/>
      <c r="H23" s="4"/>
      <c r="I23" s="4"/>
      <c r="J23" s="4"/>
      <c r="K23" s="4"/>
      <c r="L23" s="4"/>
      <c r="M23" s="4"/>
      <c r="N23" s="4"/>
      <c r="O23" s="4"/>
      <c r="P23" s="4"/>
      <c r="Q23" s="4"/>
      <c r="R23" s="4"/>
      <c r="S23" s="4"/>
      <c r="T23" s="4"/>
    </row>
    <row r="24" spans="1:20" x14ac:dyDescent="0.3">
      <c r="A24" s="4"/>
      <c r="B24" s="4"/>
      <c r="C24" s="4"/>
      <c r="D24" s="4"/>
      <c r="E24" s="4"/>
      <c r="F24" s="4"/>
      <c r="G24" s="4"/>
      <c r="H24" s="4"/>
      <c r="I24" s="4"/>
      <c r="J24" s="4"/>
      <c r="K24" s="4"/>
      <c r="L24" s="4"/>
      <c r="M24" s="4"/>
      <c r="N24" s="4"/>
      <c r="O24" s="4"/>
      <c r="P24" s="4"/>
      <c r="Q24" s="4"/>
      <c r="R24" s="4"/>
      <c r="S24" s="4"/>
      <c r="T24" s="4"/>
    </row>
    <row r="25" spans="1:20" x14ac:dyDescent="0.3">
      <c r="A25" s="4"/>
      <c r="B25" s="4"/>
      <c r="C25" s="4"/>
      <c r="D25" s="4"/>
      <c r="E25" s="4"/>
      <c r="F25" s="4"/>
      <c r="G25" s="4"/>
      <c r="H25" s="4"/>
      <c r="I25" s="4"/>
      <c r="J25" s="4"/>
      <c r="K25" s="4"/>
      <c r="L25" s="4"/>
      <c r="M25" s="4"/>
      <c r="N25" s="4"/>
      <c r="O25" s="4"/>
      <c r="P25" s="4"/>
      <c r="Q25" s="4"/>
      <c r="R25" s="4"/>
      <c r="S25" s="4"/>
      <c r="T25" s="4"/>
    </row>
    <row r="26" spans="1:20" x14ac:dyDescent="0.3">
      <c r="A26" s="4"/>
      <c r="B26" s="4"/>
      <c r="C26" s="4"/>
      <c r="D26" s="4"/>
      <c r="E26" s="4"/>
      <c r="F26" s="4"/>
      <c r="G26" s="4"/>
      <c r="H26" s="4"/>
      <c r="I26" s="4"/>
      <c r="J26" s="4"/>
      <c r="K26" s="4"/>
      <c r="L26" s="4"/>
      <c r="M26" s="4"/>
      <c r="N26" s="4"/>
      <c r="O26" s="4"/>
      <c r="P26" s="4"/>
      <c r="Q26" s="4"/>
      <c r="R26" s="4"/>
      <c r="S26" s="4"/>
      <c r="T26" s="4"/>
    </row>
    <row r="27" spans="1:20" x14ac:dyDescent="0.3">
      <c r="A27" s="4"/>
      <c r="B27" s="4"/>
      <c r="C27" s="4"/>
      <c r="D27" s="4"/>
      <c r="E27" s="4"/>
      <c r="F27" s="4"/>
      <c r="G27" s="4"/>
      <c r="H27" s="4"/>
      <c r="I27" s="4"/>
      <c r="J27" s="4"/>
      <c r="K27" s="4"/>
      <c r="L27" s="4"/>
      <c r="M27" s="4"/>
      <c r="N27" s="4"/>
      <c r="O27" s="4"/>
      <c r="P27" s="4"/>
      <c r="Q27" s="4"/>
      <c r="R27" s="4"/>
      <c r="S27" s="4"/>
      <c r="T27" s="4"/>
    </row>
    <row r="28" spans="1:20" x14ac:dyDescent="0.3">
      <c r="A28" s="4"/>
      <c r="B28" s="4"/>
      <c r="C28" s="4"/>
      <c r="D28" s="4"/>
      <c r="E28" s="4"/>
      <c r="F28" s="4"/>
      <c r="G28" s="4"/>
      <c r="H28" s="4"/>
      <c r="I28" s="4"/>
      <c r="J28" s="4"/>
      <c r="K28" s="4"/>
      <c r="L28" s="4"/>
      <c r="M28" s="4"/>
      <c r="N28" s="4"/>
      <c r="O28" s="4"/>
      <c r="P28" s="4"/>
      <c r="Q28" s="4"/>
      <c r="R28" s="4"/>
      <c r="S28" s="4"/>
      <c r="T28" s="4"/>
    </row>
    <row r="29" spans="1:20" x14ac:dyDescent="0.3">
      <c r="A29" s="4"/>
      <c r="B29" s="4"/>
      <c r="C29" s="4"/>
      <c r="D29" s="4"/>
      <c r="E29" s="4"/>
      <c r="F29" s="4"/>
      <c r="G29" s="4"/>
      <c r="H29" s="4"/>
      <c r="I29" s="4"/>
      <c r="J29" s="4"/>
      <c r="K29" s="4"/>
      <c r="L29" s="4"/>
      <c r="M29" s="4"/>
      <c r="N29" s="4"/>
      <c r="O29" s="4"/>
      <c r="P29" s="4"/>
      <c r="Q29" s="4"/>
      <c r="R29" s="4"/>
      <c r="S29" s="4"/>
      <c r="T29" s="4"/>
    </row>
    <row r="30" spans="1:20" x14ac:dyDescent="0.3">
      <c r="A30" s="4"/>
      <c r="B30" s="4"/>
      <c r="C30" s="4"/>
      <c r="D30" s="4"/>
      <c r="E30" s="4"/>
      <c r="F30" s="4"/>
      <c r="G30" s="4"/>
      <c r="H30" s="4"/>
      <c r="I30" s="4"/>
      <c r="J30" s="4"/>
      <c r="K30" s="4"/>
      <c r="L30" s="4"/>
      <c r="M30" s="4"/>
      <c r="N30" s="4"/>
      <c r="O30" s="4"/>
      <c r="P30" s="4"/>
      <c r="Q30" s="4"/>
      <c r="R30" s="4"/>
      <c r="S30" s="4"/>
      <c r="T30"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B8A6-DD2E-466B-8A86-D11E6B279B62}">
  <dimension ref="A1:AZ83"/>
  <sheetViews>
    <sheetView zoomScale="79" workbookViewId="0"/>
  </sheetViews>
  <sheetFormatPr defaultRowHeight="14.4" x14ac:dyDescent="0.3"/>
  <sheetData>
    <row r="1" spans="1:52"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row>
    <row r="2" spans="1:52"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row>
    <row r="3" spans="1:52"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spans="1:52"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row>
    <row r="5" spans="1:52"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row>
    <row r="6" spans="1:52"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row>
    <row r="7" spans="1:52"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row>
    <row r="8" spans="1:52"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row>
    <row r="9" spans="1:52"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row>
    <row r="10" spans="1:52"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row>
    <row r="11" spans="1:52"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row>
    <row r="12" spans="1:52"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row>
    <row r="13" spans="1:52"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row>
    <row r="14" spans="1:52"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row>
    <row r="15" spans="1:52"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row>
    <row r="16" spans="1:52"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row>
    <row r="17" spans="1:52"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row>
    <row r="18" spans="1:52"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row>
    <row r="19" spans="1:52"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row>
    <row r="20" spans="1:52"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row>
    <row r="21" spans="1:52"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row>
    <row r="22" spans="1:52"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row>
    <row r="23" spans="1:52"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row>
    <row r="24" spans="1:52"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row>
    <row r="25" spans="1:52"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row>
    <row r="26" spans="1:52"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row>
    <row r="27" spans="1:52"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row>
    <row r="28" spans="1:52"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row>
    <row r="29" spans="1:52"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row>
    <row r="30" spans="1:52"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row>
    <row r="31" spans="1:52"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row>
    <row r="32" spans="1:52"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row>
    <row r="33" spans="1:52"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row>
    <row r="34" spans="1:52"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row>
    <row r="35" spans="1:52"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row>
    <row r="36" spans="1:52"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row>
    <row r="37" spans="1:52"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row>
    <row r="38" spans="1:52"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row>
    <row r="39" spans="1:52"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row>
    <row r="40" spans="1:52"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row>
    <row r="41" spans="1:52"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row>
    <row r="42" spans="1:52"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row>
    <row r="43" spans="1:52"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row>
    <row r="44" spans="1:52"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row>
    <row r="45" spans="1:52"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row>
    <row r="46" spans="1:52"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row>
    <row r="47" spans="1:52"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row>
    <row r="48" spans="1:52"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row>
    <row r="49" spans="1:52"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row>
    <row r="50" spans="1:52"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row>
    <row r="51" spans="1:52"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row>
    <row r="52" spans="1:52"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row>
    <row r="53" spans="1:52"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row>
    <row r="54" spans="1:52"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row>
    <row r="55" spans="1:52"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row>
    <row r="56" spans="1:52"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row>
    <row r="57" spans="1:52"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row>
    <row r="58" spans="1:52"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row>
    <row r="59" spans="1:52"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row>
    <row r="60" spans="1:52"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row>
    <row r="61" spans="1:52"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row>
    <row r="62" spans="1:52"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row>
    <row r="63" spans="1:52"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row>
    <row r="64" spans="1:52"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row>
    <row r="65" spans="1:52"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row>
    <row r="66" spans="1:52"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row>
    <row r="67" spans="1:52"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row>
    <row r="68" spans="1:52"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row>
    <row r="69" spans="1:52"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row>
    <row r="70" spans="1:52"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row>
    <row r="71" spans="1:52"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row>
    <row r="72" spans="1:52"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row>
    <row r="73" spans="1:52"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row>
    <row r="74" spans="1:52"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row>
    <row r="75" spans="1:52"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row>
    <row r="76" spans="1:52"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row>
    <row r="77" spans="1:52"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row>
    <row r="78" spans="1:52"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row>
    <row r="79" spans="1:52"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row>
    <row r="80" spans="1:52"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row>
    <row r="81" spans="1:52"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row>
    <row r="82" spans="1:52"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row>
    <row r="83" spans="1:52"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970F-3DFB-43EA-BF5A-40CD715E77E3}">
  <dimension ref="A1:T25"/>
  <sheetViews>
    <sheetView topLeftCell="A9" workbookViewId="0"/>
  </sheetViews>
  <sheetFormatPr defaultRowHeight="14.4" x14ac:dyDescent="0.3"/>
  <sheetData>
    <row r="1" spans="1:20" x14ac:dyDescent="0.3">
      <c r="A1" s="6"/>
      <c r="B1" s="6"/>
      <c r="C1" s="6"/>
      <c r="D1" s="6"/>
      <c r="E1" s="6"/>
      <c r="F1" s="6"/>
      <c r="G1" s="6"/>
      <c r="H1" s="6"/>
      <c r="I1" s="6"/>
      <c r="J1" s="6"/>
      <c r="K1" s="6"/>
      <c r="L1" s="6"/>
      <c r="M1" s="6"/>
      <c r="N1" s="6"/>
      <c r="O1" s="6"/>
      <c r="P1" s="6"/>
      <c r="Q1" s="6"/>
      <c r="R1" s="6"/>
      <c r="S1" s="6"/>
      <c r="T1" s="6"/>
    </row>
    <row r="2" spans="1:20" x14ac:dyDescent="0.3">
      <c r="A2" s="6"/>
      <c r="B2" s="6"/>
      <c r="C2" s="6"/>
      <c r="D2" s="6"/>
      <c r="E2" s="6"/>
      <c r="F2" s="6"/>
      <c r="G2" s="6"/>
      <c r="H2" s="6"/>
      <c r="I2" s="6"/>
      <c r="J2" s="6"/>
      <c r="K2" s="6"/>
      <c r="L2" s="6"/>
      <c r="M2" s="6"/>
      <c r="N2" s="6"/>
      <c r="O2" s="6"/>
      <c r="P2" s="6"/>
      <c r="Q2" s="6"/>
      <c r="R2" s="6"/>
      <c r="S2" s="6"/>
      <c r="T2" s="6"/>
    </row>
    <row r="3" spans="1:20" x14ac:dyDescent="0.3">
      <c r="A3" s="6"/>
      <c r="B3" s="6"/>
      <c r="C3" s="6"/>
      <c r="D3" s="6"/>
      <c r="E3" s="6"/>
      <c r="F3" s="6"/>
      <c r="G3" s="6"/>
      <c r="H3" s="6"/>
      <c r="I3" s="6"/>
      <c r="J3" s="6"/>
      <c r="K3" s="6"/>
      <c r="L3" s="6"/>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2DD1-F5B5-4157-8F15-B7E8ACDC14F6}">
  <dimension ref="A1:V25"/>
  <sheetViews>
    <sheetView workbookViewId="0"/>
  </sheetViews>
  <sheetFormatPr defaultRowHeight="14.4" x14ac:dyDescent="0.3"/>
  <sheetData>
    <row r="1" spans="1:22" x14ac:dyDescent="0.3">
      <c r="A1" s="6"/>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row r="8" spans="1:22" x14ac:dyDescent="0.3">
      <c r="A8" s="6"/>
      <c r="B8" s="6"/>
      <c r="C8" s="6"/>
      <c r="D8" s="6"/>
      <c r="E8" s="6"/>
      <c r="F8" s="6"/>
      <c r="G8" s="6"/>
      <c r="H8" s="6"/>
      <c r="I8" s="6"/>
      <c r="J8" s="6"/>
      <c r="K8" s="6"/>
      <c r="L8" s="6"/>
      <c r="M8" s="6"/>
      <c r="N8" s="6"/>
      <c r="O8" s="6"/>
      <c r="P8" s="6"/>
      <c r="Q8" s="6"/>
      <c r="R8" s="6"/>
      <c r="S8" s="6"/>
      <c r="T8" s="6"/>
      <c r="U8" s="6"/>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CD85417-4D22-4B6F-97B6-94CD8E90B327}">
  <ds:schemaRefs/>
</ds:datastoreItem>
</file>

<file path=customXml/itemProps2.xml><?xml version="1.0" encoding="utf-8"?>
<ds:datastoreItem xmlns:ds="http://schemas.openxmlformats.org/officeDocument/2006/customXml" ds:itemID="{D2BDFB98-E9D5-4285-834E-F58D019A6600}">
  <ds:schemaRefs/>
</ds:datastoreItem>
</file>

<file path=customXml/itemProps3.xml><?xml version="1.0" encoding="utf-8"?>
<ds:datastoreItem xmlns:ds="http://schemas.openxmlformats.org/officeDocument/2006/customXml" ds:itemID="{19546133-5CE6-4BC5-950F-AFE8EDFCF98C}">
  <ds:schemaRefs/>
</ds:datastoreItem>
</file>

<file path=customXml/itemProps4.xml><?xml version="1.0" encoding="utf-8"?>
<ds:datastoreItem xmlns:ds="http://schemas.openxmlformats.org/officeDocument/2006/customXml" ds:itemID="{02055E99-63F3-440A-AD17-BFFEDBCF5AA5}">
  <ds:schemaRefs/>
</ds:datastoreItem>
</file>

<file path=customXml/itemProps5.xml><?xml version="1.0" encoding="utf-8"?>
<ds:datastoreItem xmlns:ds="http://schemas.openxmlformats.org/officeDocument/2006/customXml" ds:itemID="{FCE597F7-94AF-4492-8706-3FA60BB6C9B7}">
  <ds:schemaRefs/>
</ds:datastoreItem>
</file>

<file path=customXml/itemProps6.xml><?xml version="1.0" encoding="utf-8"?>
<ds:datastoreItem xmlns:ds="http://schemas.openxmlformats.org/officeDocument/2006/customXml" ds:itemID="{47D404BE-9226-467F-985C-E86EBCF6445B}">
  <ds:schemaRefs/>
</ds:datastoreItem>
</file>

<file path=customXml/itemProps7.xml><?xml version="1.0" encoding="utf-8"?>
<ds:datastoreItem xmlns:ds="http://schemas.openxmlformats.org/officeDocument/2006/customXml" ds:itemID="{2D059DA9-6B76-43EC-B291-B436B2BB264B}">
  <ds:schemaRefs/>
</ds:datastoreItem>
</file>

<file path=customXml/itemProps8.xml><?xml version="1.0" encoding="utf-8"?>
<ds:datastoreItem xmlns:ds="http://schemas.openxmlformats.org/officeDocument/2006/customXml" ds:itemID="{0F12FC2F-B3F8-4D41-9A85-6D3BC562188F}">
  <ds:schemaRefs/>
</ds:datastoreItem>
</file>

<file path=customXml/itemProps9.xml><?xml version="1.0" encoding="utf-8"?>
<ds:datastoreItem xmlns:ds="http://schemas.openxmlformats.org/officeDocument/2006/customXml" ds:itemID="{86CC72FF-FEB8-44F5-AFEB-32BE8605875D}">
  <ds:schemaRefs/>
</ds:datastoreItem>
</file>

<file path=customXml/itemProps10.xml><?xml version="1.0" encoding="utf-8"?>
<ds:datastoreItem xmlns:ds="http://schemas.openxmlformats.org/officeDocument/2006/customXml" ds:itemID="{17F59FAD-CBCE-405E-A503-E7E6897F15C2}">
  <ds:schemaRefs/>
</ds:datastoreItem>
</file>

<file path=customXml/itemProps11.xml><?xml version="1.0" encoding="utf-8"?>
<ds:datastoreItem xmlns:ds="http://schemas.openxmlformats.org/officeDocument/2006/customXml" ds:itemID="{780EF61B-3ADF-4ECD-8894-352E0A0AC10A}">
  <ds:schemaRefs/>
</ds:datastoreItem>
</file>

<file path=customXml/itemProps12.xml><?xml version="1.0" encoding="utf-8"?>
<ds:datastoreItem xmlns:ds="http://schemas.openxmlformats.org/officeDocument/2006/customXml" ds:itemID="{E7A2DB57-F4A9-4F65-8503-9E5DA4F609FA}">
  <ds:schemaRefs/>
</ds:datastoreItem>
</file>

<file path=customXml/itemProps13.xml><?xml version="1.0" encoding="utf-8"?>
<ds:datastoreItem xmlns:ds="http://schemas.openxmlformats.org/officeDocument/2006/customXml" ds:itemID="{DCE066E6-2191-4F26-AB05-264C4FC33D7B}">
  <ds:schemaRefs>
    <ds:schemaRef ds:uri="http://schemas.microsoft.com/DataMashup"/>
  </ds:schemaRefs>
</ds:datastoreItem>
</file>

<file path=customXml/itemProps14.xml><?xml version="1.0" encoding="utf-8"?>
<ds:datastoreItem xmlns:ds="http://schemas.openxmlformats.org/officeDocument/2006/customXml" ds:itemID="{233D3737-659C-44DF-B5A2-A1D2DCCFEABD}">
  <ds:schemaRefs/>
</ds:datastoreItem>
</file>

<file path=customXml/itemProps15.xml><?xml version="1.0" encoding="utf-8"?>
<ds:datastoreItem xmlns:ds="http://schemas.openxmlformats.org/officeDocument/2006/customXml" ds:itemID="{3833A8EE-E838-4F83-8F7B-58388663D7ED}">
  <ds:schemaRefs/>
</ds:datastoreItem>
</file>

<file path=customXml/itemProps16.xml><?xml version="1.0" encoding="utf-8"?>
<ds:datastoreItem xmlns:ds="http://schemas.openxmlformats.org/officeDocument/2006/customXml" ds:itemID="{15661F7D-A41A-4DD6-8A48-7AAE5AC8BF20}">
  <ds:schemaRefs/>
</ds:datastoreItem>
</file>

<file path=customXml/itemProps17.xml><?xml version="1.0" encoding="utf-8"?>
<ds:datastoreItem xmlns:ds="http://schemas.openxmlformats.org/officeDocument/2006/customXml" ds:itemID="{A102F1B9-AD52-4EE3-9282-6F3406229A4D}">
  <ds:schemaRefs/>
</ds:datastoreItem>
</file>

<file path=customXml/itemProps18.xml><?xml version="1.0" encoding="utf-8"?>
<ds:datastoreItem xmlns:ds="http://schemas.openxmlformats.org/officeDocument/2006/customXml" ds:itemID="{FFF481D5-0360-4077-8FC8-F42DF2F12D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vt:lpstr>
      <vt:lpstr>Average Wait time</vt:lpstr>
      <vt:lpstr>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 Singh</dc:creator>
  <cp:lastModifiedBy>Amit kumar Singh</cp:lastModifiedBy>
  <dcterms:created xsi:type="dcterms:W3CDTF">2026-06-26T06:43:44Z</dcterms:created>
  <dcterms:modified xsi:type="dcterms:W3CDTF">2026-06-27T06:19:16Z</dcterms:modified>
</cp:coreProperties>
</file>